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Formula_Definitions" sheetId="2" state="visible" r:id="rId4"/>
    <sheet name="Per_Vulnerability_Analysis" sheetId="3" state="visible" r:id="rId5"/>
    <sheet name="Detection_Count_Analysis" sheetId="4" state="visible" r:id="rId6"/>
    <sheet name="Tool_Wise_Analysis" sheetId="5" state="visible" r:id="rId7"/>
    <sheet name="Contract_Level_Statistics" sheetId="6" state="visible" r:id="rId8"/>
    <sheet name="Agreement_Jaccard" sheetId="7" state="visible" r:id="rId9"/>
    <sheet name="Key_Findings" sheetId="8" state="visible" r:id="rId10"/>
    <sheet name="Dat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<sst xmlns="http://schemas.openxmlformats.org/spreadsheetml/2006/main" count="771" uniqueCount="297">
  <si>
    <t xml:space="preserve">Hyperlane — Bridge Bytecode Vulnerability Detection: Executive Summary</t>
  </si>
  <si>
    <t xml:space="preserve">KEY METRICS</t>
  </si>
  <si>
    <t xml:space="preserve">WHAT THE DATA SHOWS</t>
  </si>
  <si>
    <t xml:space="preserve">Metric</t>
  </si>
  <si>
    <t xml:space="preserve">Formula</t>
  </si>
  <si>
    <t xml:space="preserve">Interpretation</t>
  </si>
  <si>
    <t xml:space="preserve">Detections D(v)</t>
  </si>
  <si>
    <t xml:space="preserve">COUNTIF(category_column, "&lt;&gt;")</t>
  </si>
  <si>
    <t xml:space="preserve">Number of contracts flagged for vulnerability v by its reporting tool</t>
  </si>
  <si>
    <t xml:space="preserve">Contracts w/ Bytecode</t>
  </si>
  <si>
    <t xml:space="preserve">SUM(Has_Bytecode)</t>
  </si>
  <si>
    <t xml:space="preserve">Denominator for prevalence; excludes EOA/unverified/no-code addresses</t>
  </si>
  <si>
    <t xml:space="preserve">Prevalence %</t>
  </si>
  <si>
    <t xml:space="preserve">D(v) / Contracts_w_Bytecode</t>
  </si>
  <si>
    <t xml:space="preserve">Share of resolved contracts flagged for category v</t>
  </si>
  <si>
    <t xml:space="preserve">Overall Vulnerable</t>
  </si>
  <si>
    <t xml:space="preserve">COUNTIFS(Has_Bytecode=1, Vulnerable="Yes")</t>
  </si>
  <si>
    <t xml:space="preserve">Contracts flagged by &gt;=1 tool, among resolved contracts</t>
  </si>
  <si>
    <t xml:space="preserve">Flags per Contract</t>
  </si>
  <si>
    <t xml:space="preserve">COUNT of active categories triggered per row</t>
  </si>
  <si>
    <t xml:space="preserve">How many distinct categories fire on the same contract</t>
  </si>
  <si>
    <t xml:space="preserve">Tool Flag Rate %</t>
  </si>
  <si>
    <t xml:space="preserve">Tool-flagged contracts / Contracts w/ Bytecode</t>
  </si>
  <si>
    <t xml:space="preserve">Per-tool prevalence, independent of category breakdown</t>
  </si>
  <si>
    <t xml:space="preserve">Jaccard Index J(A,B)</t>
  </si>
  <si>
    <t xml:space="preserve">|A ∩ B| / |A ∪ B|</t>
  </si>
  <si>
    <t xml:space="preserve">Overlap between the two tools' flagged sets; 0=no overlap, 1=identical sets</t>
  </si>
  <si>
    <t xml:space="preserve">Vulnerable Rate % (chain)</t>
  </si>
  <si>
    <t xml:space="preserve">Vulnerable(chain) / With_Bytecode(chain)</t>
  </si>
  <si>
    <t xml:space="preserve">Per-chain share of resolved contracts flagged</t>
  </si>
  <si>
    <t xml:space="preserve">Hyperlane — Per-Vulnerability Analysis</t>
  </si>
  <si>
    <t xml:space="preserve">Category</t>
  </si>
  <si>
    <t xml:space="preserve">Detecting Tool</t>
  </si>
  <si>
    <t xml:space="preserve">Note</t>
  </si>
  <si>
    <t xml:space="preserve">Reentrancy</t>
  </si>
  <si>
    <t xml:space="preserve">Not covered (0 detections)</t>
  </si>
  <si>
    <t xml:space="preserve">Zero detections this run</t>
  </si>
  <si>
    <t xml:space="preserve">Integer</t>
  </si>
  <si>
    <t xml:space="preserve">Mythril</t>
  </si>
  <si>
    <t xml:space="preserve">Bytecode-level detection</t>
  </si>
  <si>
    <t xml:space="preserve">Access Control</t>
  </si>
  <si>
    <t xml:space="preserve">Delegatecall</t>
  </si>
  <si>
    <t xml:space="preserve">Unchecked Call</t>
  </si>
  <si>
    <t xml:space="preserve">Timestamp</t>
  </si>
  <si>
    <t xml:space="preserve">TOD</t>
  </si>
  <si>
    <t xml:space="preserve">DoS</t>
  </si>
  <si>
    <t xml:space="preserve">Selfdestruct</t>
  </si>
  <si>
    <t xml:space="preserve">Locked Ether</t>
  </si>
  <si>
    <t xml:space="preserve">MAIAN</t>
  </si>
  <si>
    <t xml:space="preserve">Ether Leak</t>
  </si>
  <si>
    <t xml:space="preserve">OVERALL VULNERABLE</t>
  </si>
  <si>
    <t xml:space="preserve">Any tool</t>
  </si>
  <si>
    <t xml:space="preserve">Flagged by &gt;=1 tool</t>
  </si>
  <si>
    <t xml:space="preserve">Hyperlane — Detection Count Analysis</t>
  </si>
  <si>
    <t xml:space="preserve">Flags per contract = count of (Integer, Locked Ether, Ether Leak) triggered on that contract</t>
  </si>
  <si>
    <t xml:space="preserve">Contract Count</t>
  </si>
  <si>
    <t xml:space="preserve">% of Bytecode Contracts</t>
  </si>
  <si>
    <t xml:space="preserve">0 categories flagged</t>
  </si>
  <si>
    <t xml:space="preserve">1 categories flagged</t>
  </si>
  <si>
    <t xml:space="preserve">2 categories flagged</t>
  </si>
  <si>
    <t xml:space="preserve">3 categories flagged</t>
  </si>
  <si>
    <t xml:space="preserve">Total contracts w/ bytecode</t>
  </si>
  <si>
    <t xml:space="preserve">Total raw detections (sum across all 11 categories)</t>
  </si>
  <si>
    <t xml:space="preserve">Avg detections per bytecode-resolved contract</t>
  </si>
  <si>
    <t xml:space="preserve">Hyperlane — Tool-wise Analysis</t>
  </si>
  <si>
    <t xml:space="preserve">Tool</t>
  </si>
  <si>
    <t xml:space="preserve">Categories Covered</t>
  </si>
  <si>
    <t xml:space="preserve">Contracts Flagged</t>
  </si>
  <si>
    <t xml:space="preserve">Flag Rate %</t>
  </si>
  <si>
    <t xml:space="preserve">Locked Ether, Ether Leak</t>
  </si>
  <si>
    <t xml:space="preserve">Symbolic execution, financial-flow analysis</t>
  </si>
  <si>
    <t xml:space="preserve">Bytecode symbolic execution</t>
  </si>
  <si>
    <t xml:space="preserve">Others (n/a)</t>
  </si>
  <si>
    <t xml:space="preserve">Reentrancy, Access Control, Delegatecall, Unchecked Call, Timestamp, TOD, DoS, Selfdestruct</t>
  </si>
  <si>
    <t xml:space="preserve">Zero detections in this run</t>
  </si>
  <si>
    <t xml:space="preserve">Hyperlane — Contract-Level Statistics</t>
  </si>
  <si>
    <t xml:space="preserve">Addresses queried</t>
  </si>
  <si>
    <t xml:space="preserve">Chains covered</t>
  </si>
  <si>
    <t xml:space="preserve">Contracts analyzed (bytecode resolved / detection ran)</t>
  </si>
  <si>
    <t xml:space="preserve">Not analyzed (EOA / unverified / not found)</t>
  </si>
  <si>
    <t xml:space="preserve">...of which bytecode text is blank in source export</t>
  </si>
  <si>
    <t xml:space="preserve">Detections still recorded; only the raw bytecode string is missing from the export</t>
  </si>
  <si>
    <t xml:space="preserve">Avg bytecode length (hex chars, where text available)</t>
  </si>
  <si>
    <t xml:space="preserve">Rounded to nearest char; excludes blank-text rows</t>
  </si>
  <si>
    <t xml:space="preserve">Min bytecode length (where text available)</t>
  </si>
  <si>
    <t xml:space="preserve">Max bytecode length</t>
  </si>
  <si>
    <t xml:space="preserve">Per-Chain Breakdown</t>
  </si>
  <si>
    <t xml:space="preserve">Chain</t>
  </si>
  <si>
    <t xml:space="preserve">Addresses</t>
  </si>
  <si>
    <t xml:space="preserve">With Bytecode</t>
  </si>
  <si>
    <t xml:space="preserve">Vulnerable Rate %</t>
  </si>
  <si>
    <t xml:space="preserve">All (chain not encoded in address)</t>
  </si>
  <si>
    <t xml:space="preserve">Hyperlane — Tool Agreement (Jaccard Index)</t>
  </si>
  <si>
    <t xml:space="preserve">Agreement between MAIAN and Mythril, among contracts with bytecode.</t>
  </si>
  <si>
    <t xml:space="preserve">Set</t>
  </si>
  <si>
    <t xml:space="preserve">Count</t>
  </si>
  <si>
    <t xml:space="preserve">Definition</t>
  </si>
  <si>
    <t xml:space="preserve">Both tools flag (A ∩ B)</t>
  </si>
  <si>
    <t xml:space="preserve">MAIAN AND Mythril</t>
  </si>
  <si>
    <t xml:space="preserve">Only MAIAN flags (A \ B)</t>
  </si>
  <si>
    <t xml:space="preserve">MAIAN only</t>
  </si>
  <si>
    <t xml:space="preserve">Only Mythril flags (B \ A)</t>
  </si>
  <si>
    <t xml:space="preserve">Mythril only</t>
  </si>
  <si>
    <t xml:space="preserve">Neither flags</t>
  </si>
  <si>
    <t xml:space="preserve">Resolved contract, no flag from either tool</t>
  </si>
  <si>
    <t xml:space="preserve">Union (A ∪ B)</t>
  </si>
  <si>
    <t xml:space="preserve">Jaccard Index J(A,B) = |A∩B| / |A∪B|</t>
  </si>
  <si>
    <t xml:space="preserve">Hyperlane — Key Findings</t>
  </si>
  <si>
    <t xml:space="preserve">Address</t>
  </si>
  <si>
    <t xml:space="preserve">Has_Bytecode</t>
  </si>
  <si>
    <t xml:space="preserve">Bytecode_Length</t>
  </si>
  <si>
    <t xml:space="preserve">Access_Control</t>
  </si>
  <si>
    <t xml:space="preserve">Unchecked_Call</t>
  </si>
  <si>
    <t xml:space="preserve">Locked_Ether</t>
  </si>
  <si>
    <t xml:space="preserve">Ether_Leak</t>
  </si>
  <si>
    <t xml:space="preserve">Vulnerable</t>
  </si>
  <si>
    <t xml:space="preserve">MAIAN_Flag</t>
  </si>
  <si>
    <t xml:space="preserve">Mythril_Flag</t>
  </si>
  <si>
    <t xml:space="preserve">0x01c0752455282BC139A325e479c6121E060a7bBd</t>
  </si>
  <si>
    <t xml:space="preserve">Yes</t>
  </si>
  <si>
    <t xml:space="preserve">0x0296D16d371a49F631143612020138896b3eA421</t>
  </si>
  <si>
    <t xml:space="preserve">No</t>
  </si>
  <si>
    <t xml:space="preserve">0x038F9F4e93e88Af2C688da265222FdE80e455aA4</t>
  </si>
  <si>
    <t xml:space="preserve">0x0526E47C49742C15F8817ef8cf0d8FFc72139D4F</t>
  </si>
  <si>
    <t xml:space="preserve">0x06De94EfBE80A2804c5FDE2e7C4278a10575A272</t>
  </si>
  <si>
    <t xml:space="preserve">0x08Aa6263078ddC6139F8EAB59D838C17bf555e93</t>
  </si>
  <si>
    <t xml:space="preserve">0x11b69aB33AD8a550dcF9B4A041AA1121255F08A5</t>
  </si>
  <si>
    <t xml:space="preserve">0x11f4E62575EE171D4df15b2D5426abd5d4196284</t>
  </si>
  <si>
    <t xml:space="preserve">0x12582c7B0f43c6A667CBaA7fA8b112F7fb1E69F0</t>
  </si>
  <si>
    <t xml:space="preserve">0x12Df53079d399a47e9E730df095b712B0FDFA791</t>
  </si>
  <si>
    <t xml:space="preserve">0x175821F30AdCAA4bbB72Ce98eF76C2E0De2C3f21</t>
  </si>
  <si>
    <t xml:space="preserve">0x17E216fBb22dF4ef8A6640ae9Cb147C92710ac84</t>
  </si>
  <si>
    <t xml:space="preserve">0x182E8d7c5F1B06201b102123FC7dF0EaeB445a7B</t>
  </si>
  <si>
    <t xml:space="preserve">0x18B0688990720103dB63559a3563f7E8d0f63EDb</t>
  </si>
  <si>
    <t xml:space="preserve">0x19Be55D859368e02d7b9C00803Eb677BDC1359Bd</t>
  </si>
  <si>
    <t xml:space="preserve">0x19dc38aeae620380430C200a6E990D5Af5480117</t>
  </si>
  <si>
    <t xml:space="preserve">0x1D5EbC3e15e9ECDe0e3530C85899556797eeaea5</t>
  </si>
  <si>
    <t xml:space="preserve">0x1E38556b4fE553e6249448960875883990efcf34</t>
  </si>
  <si>
    <t xml:space="preserve">0x1aFD5191738d365C8079e955E4cEdDfe7e01C62d</t>
  </si>
  <si>
    <t xml:space="preserve">0x1b33611fCc073aB0737011d5512EF673Bff74962</t>
  </si>
  <si>
    <t xml:space="preserve">0x1cE4d0E16570C362feef85Ce2713555fCbd3dBC7</t>
  </si>
  <si>
    <t xml:space="preserve">0x1df063280C4166AF9a725e3828b4dAC6c7113B08</t>
  </si>
  <si>
    <t xml:space="preserve">0x208263bB303B2a737642fB13C765F106a2591be8</t>
  </si>
  <si>
    <t xml:space="preserve">0x20E98684e3879e76eb09BBa45035Ef290a85a7c6</t>
  </si>
  <si>
    <t xml:space="preserve">0x2214711817f49665240f68efED0De888838BB375</t>
  </si>
  <si>
    <t xml:space="preserve">0x2235662a9a8ED39AE489aafb2feE13Db26f72044</t>
  </si>
  <si>
    <t xml:space="preserve">0x2254A9826b4bE58612b83498C327F37A796954DF</t>
  </si>
  <si>
    <t xml:space="preserve">0x2351FBe24C1212F253b7a300ff0cBCFd97952a19</t>
  </si>
  <si>
    <t xml:space="preserve">0x239eB860770F1C48ABAC9bE9825d20e3E7c018df</t>
  </si>
  <si>
    <t xml:space="preserve">0x270B3D343Dfbb67ADd7659F83F8e3e381A3369aC</t>
  </si>
  <si>
    <t xml:space="preserve">0x27A43305C387b464F47D7feC179DF028fF6c1188</t>
  </si>
  <si>
    <t xml:space="preserve">0x28B02B97a850872C4D33C3E024fab6499ad96564</t>
  </si>
  <si>
    <t xml:space="preserve">0x28F7907911C7E321c596686AE6D1F20516450037</t>
  </si>
  <si>
    <t xml:space="preserve">0x29cEAFEE1F76B9CE271750f86B2bD12C23F9dDb6</t>
  </si>
  <si>
    <t xml:space="preserve">0x2AF32cF8e3Cf42d221eDa0c843818fA5ee129E27</t>
  </si>
  <si>
    <t xml:space="preserve">0x2F619Ac5122689180AeBB930ADccdae215d538a9</t>
  </si>
  <si>
    <t xml:space="preserve">0x2c58687fFfCD5b7043a5bF256B196216a98a6587</t>
  </si>
  <si>
    <t xml:space="preserve">0x2d0092538AB16c996D8E60b10B015Cd83616334D</t>
  </si>
  <si>
    <t xml:space="preserve">0x3135f748747438854833cEbc1FD6A5636992c769</t>
  </si>
  <si>
    <t xml:space="preserve">0x36FdA966CfffF8a9Cdc814f546db0e6378bFef35</t>
  </si>
  <si>
    <t xml:space="preserve">0x3844B40c55370Dabbce52546B6504CcC61CFdB82</t>
  </si>
  <si>
    <t xml:space="preserve">0x3C330D4A2e2b8443AFaB8E326E64ab4251B7Eae0</t>
  </si>
  <si>
    <t xml:space="preserve">0x3a464f746D23Ab22155710f44dB16dcA53e0775E</t>
  </si>
  <si>
    <t xml:space="preserve">0x3b6044acd6767f017e99318AA6Ef93b7B06A5a22</t>
  </si>
  <si>
    <t xml:space="preserve">0x414B67F62b143d6db6E9b633168Dd6fd4DA20642</t>
  </si>
  <si>
    <t xml:space="preserve">0x44647Cd983E80558793780f9a0c7C2aa9F384D07</t>
  </si>
  <si>
    <t xml:space="preserve">0x46fa3A5780e5B90Eaf34BDED554d5353B5ABE9E7</t>
  </si>
  <si>
    <t xml:space="preserve">0x47113936706B3FfF21a14807A93cc3ab8C76bff8</t>
  </si>
  <si>
    <t xml:space="preserve">0x48344fADD6fd2403729F073e570BE0f47605aDAf</t>
  </si>
  <si>
    <t xml:space="preserve">0x4907585D5D9ac83049F67c999Efbd7d977D705Db</t>
  </si>
  <si>
    <t xml:space="preserve">0x4Eb82Ee35b0a1c1d776E3a3B547f9A9bA6FCC9f2</t>
  </si>
  <si>
    <t xml:space="preserve">0x4ac19e0bafc2aF6B98094F0a1B817dF196551219</t>
  </si>
  <si>
    <t xml:space="preserve">0x4f0547800Db0a2427F7367960dc331f8Cbe2e270</t>
  </si>
  <si>
    <t xml:space="preserve">0x5090dF2FBDa7127c7aDa41f60B79F5c55D380Dd8</t>
  </si>
  <si>
    <t xml:space="preserve">0x54ba950390670f27892AFFC670Ba6ed598E5B8Df</t>
  </si>
  <si>
    <t xml:space="preserve">0x5821f3B6eE05F3dC62b43B74AB1C8F8E6904b1C8</t>
  </si>
  <si>
    <t xml:space="preserve">0x598facE78a4302f11E3de0bee1894Da0b2Cb71F8</t>
  </si>
  <si>
    <t xml:space="preserve">0x5A477c362106FC6E25785C4C611fB8c27CA3140f</t>
  </si>
  <si>
    <t xml:space="preserve">0x5aaa1Fb47f48dB1858fCaf545621bbD4B0f787F5</t>
  </si>
  <si>
    <t xml:space="preserve">0x5d759B5CeEb1C3b0181bEc0F80fb04f820cc35D1</t>
  </si>
  <si>
    <t xml:space="preserve">0x5dD4D9A9B5ED4fec79B5edC90AFbE95F437d8668</t>
  </si>
  <si>
    <t xml:space="preserve">0x61374178e45F65fF9D6252d017Cd580FC60B7654</t>
  </si>
  <si>
    <t xml:space="preserve">0x61D15D571D5f7A9eF0D1938f072f430bBF024747</t>
  </si>
  <si>
    <t xml:space="preserve">0x666a24F62f7A97BA33c151776Eb3D9441a059eB8</t>
  </si>
  <si>
    <t xml:space="preserve">0x6A6287b5965DCAe062a4A1D1D8B50A544DaF3DD5</t>
  </si>
  <si>
    <t xml:space="preserve">0x6E7b29CB2A7617405B4d30C6f84bBD51b4Bb4be8</t>
  </si>
  <si>
    <t xml:space="preserve">0x6Fae4D9935E2fcb11fC79a64e917fb2BF14DaFaa</t>
  </si>
  <si>
    <t xml:space="preserve">0x6c13643B3927C57DB92c790E4E3E7Ee81e13f78C</t>
  </si>
  <si>
    <t xml:space="preserve">0x72f747270ED9C92c7026b222c5767561Be281DaF</t>
  </si>
  <si>
    <t xml:space="preserve">0x748040afB89B8FdBb992799808215419d36A0930</t>
  </si>
  <si>
    <t xml:space="preserve">0x75f3E2a4f424401195A5E176246Ecc9f7e7680ff</t>
  </si>
  <si>
    <t xml:space="preserve">0x77bE0b5aE400675063Ce2B2B0d692D9341f4b193</t>
  </si>
  <si>
    <t xml:space="preserve">0x783EC5e105234a570eB90f314284E5dBe53bdd90</t>
  </si>
  <si>
    <t xml:space="preserve">0x7937CB2886f01F38210506491A69B0D107Ea0ad9</t>
  </si>
  <si>
    <t xml:space="preserve">0x7Ce3a48cd9FD80004d95b088760bD05bA86C1f7b</t>
  </si>
  <si>
    <t xml:space="preserve">0x7E27456a839BFF31CA642c060a2b68414Cb6e503</t>
  </si>
  <si>
    <t xml:space="preserve">0x7cd07DD1ac8ba1c508A7674C9A0F5f52e63B9b27</t>
  </si>
  <si>
    <t xml:space="preserve">0x7d58D7F052792e54eeEe91B2467c2A17a163227e</t>
  </si>
  <si>
    <t xml:space="preserve">0x7f50C5776722630a0024fAE05fDe8b47571D7B39</t>
  </si>
  <si>
    <t xml:space="preserve">0x80C8F6394c0FcF7bAB16ac08b85484361eCe5888</t>
  </si>
  <si>
    <t xml:space="preserve">0x80Cebd56A65e46c474a1A101e89E76C4c51D179c</t>
  </si>
  <si>
    <t xml:space="preserve">0x815a9642497Ee1E9F061f8b828C85Eb7193DecfC</t>
  </si>
  <si>
    <t xml:space="preserve">0x81Dc65907791713F2713F40f91D5153b7Ae9f3f7</t>
  </si>
  <si>
    <t xml:space="preserve">0x84Fcd67D2B723416e2aFDd61484BD19bd9C32f27</t>
  </si>
  <si>
    <t xml:space="preserve">0x84eea61D679F42D92145fA052C89900CBAccE95A</t>
  </si>
  <si>
    <t xml:space="preserve">0x85ac1164878e017b67660a74ff1f41f3D05C02Bb</t>
  </si>
  <si>
    <t xml:space="preserve">0x86fb9F1c124fB20ff130C41a79a432F770f67AFD</t>
  </si>
  <si>
    <t xml:space="preserve">0x874AaCa847B365592B2b9dB7235517c5F3a5c689</t>
  </si>
  <si>
    <t xml:space="preserve">0x8819D653DF5b1FC0DdB32189a2704E471AF8483c</t>
  </si>
  <si>
    <t xml:space="preserve">0x886BB0f329781b98f98FDeb1ce7a8957F2d43B9F</t>
  </si>
  <si>
    <t xml:space="preserve">0x896cF1D1B66cD211633eDd589fF158E8Cfaf9B54</t>
  </si>
  <si>
    <t xml:space="preserve">0x8Ea50255C282F89d1A14ad3F159437EE5EF0507f</t>
  </si>
  <si>
    <t xml:space="preserve">0x8F23872dAb3B166cef411EeB6C391Ff6Ce419532</t>
  </si>
  <si>
    <t xml:space="preserve">0x92FDcD6ECa2B05a6ceAdb209D81DeB9e91f02495</t>
  </si>
  <si>
    <t xml:space="preserve">0x95519ba800BBd0d34eeAE026fEc620AD978176C0</t>
  </si>
  <si>
    <t xml:space="preserve">0x95b18eF53E064Cc1817B3d041E2239d7CB47D319</t>
  </si>
  <si>
    <t xml:space="preserve">0x96845a0469363f90779f6D5cd49D79bDDAc69429</t>
  </si>
  <si>
    <t xml:space="preserve">0x979Ca5202784112f4738403dBec5D0F3B9daabB9</t>
  </si>
  <si>
    <t xml:space="preserve">0x99ca8c74cE7Cfa9d72A51fbb05F9821f5f826b3a</t>
  </si>
  <si>
    <t xml:space="preserve">0x9BbDf86b272d224323136E15594fdCe487F40ce7</t>
  </si>
  <si>
    <t xml:space="preserve">0x9Cad0eC82328CEE2386Ec14a12E81d070a27712f</t>
  </si>
  <si>
    <t xml:space="preserve">0x9FF3f38DED52D74EF4b666A7A09BcB5F38d6D272</t>
  </si>
  <si>
    <t xml:space="preserve">0x9d801C447cDE0fb79F4EFa15aA2eE123021347DF</t>
  </si>
  <si>
    <t xml:space="preserve">0x9e8fFb1c26099e75Dd5D794030e2E9AA51471c25</t>
  </si>
  <si>
    <t xml:space="preserve">0x9f68F961ba2dF53b1cB3EbCC0b08e89790C6E2f6</t>
  </si>
  <si>
    <t xml:space="preserve">0xA4B4cE629b9959495Acc3923308FdCB92f8B9412</t>
  </si>
  <si>
    <t xml:space="preserve">0xA55FE1F3b5bc7D81D9294D968cA64B176ae05c7c</t>
  </si>
  <si>
    <t xml:space="preserve">0xA8f036f10F6280085a9B1347BC3e8499F6cdb9a6</t>
  </si>
  <si>
    <t xml:space="preserve">0xAD34A66Bf6dB18E858F6B686557075568c6E031C</t>
  </si>
  <si>
    <t xml:space="preserve">0xAD5b1B341048Fb5fCAa139b7025b97d1372E0cCe</t>
  </si>
  <si>
    <t xml:space="preserve">0xAb9B273366D794B7F80B4378bc8Aaca75C6178E2</t>
  </si>
  <si>
    <t xml:space="preserve">0xB057Fb841027a8554521DcCdeC3c3474CaC99AB5</t>
  </si>
  <si>
    <t xml:space="preserve">0xB3fCcD379ad66CED0c91028520C64226611A48c9</t>
  </si>
  <si>
    <t xml:space="preserve">0xB794CCb508F998d4FBA02683B85A70Ff726D2553</t>
  </si>
  <si>
    <t xml:space="preserve">0xBDa330Ea8F3005C421C8088e638fBB64fA71b9e0</t>
  </si>
  <si>
    <t xml:space="preserve">0xBF12ef4B9f307463D3FB59c3604F294dDCe287E2</t>
  </si>
  <si>
    <t xml:space="preserve">0xBbACDe54180D309748Ef9326EA4951A64C05260F</t>
  </si>
  <si>
    <t xml:space="preserve">0xBfdB4056C49680dd54eedEf22C7F48308140a2a2</t>
  </si>
  <si>
    <t xml:space="preserve">0xC323f17895eB3576b6FF372100E9487a206863D6</t>
  </si>
  <si>
    <t xml:space="preserve">0xC50b98A6CFC20A2484bf2A21310F22C3557E5f32</t>
  </si>
  <si>
    <t xml:space="preserve">0xC81e6D1070aFA48DA4e4f35E744CC1aE43532a10</t>
  </si>
  <si>
    <t xml:space="preserve">0xC9B8ea6230d6687a4b13fD3C0b8f0Ec607B26465</t>
  </si>
  <si>
    <t xml:space="preserve">0xCDfE1782fDC9E74810D3B69E971d752bC4b4D6E6</t>
  </si>
  <si>
    <t xml:space="preserve">0xCcd5E13dC484c956Ec2De57313dEace6ca01F424</t>
  </si>
  <si>
    <t xml:space="preserve">0xCd232d3c5aDD5E7CF896B242ca61D1e8f2069dCA</t>
  </si>
  <si>
    <t xml:space="preserve">0xD0199067DACb8526e7dc524a9a7DCBb57Cd25421</t>
  </si>
  <si>
    <t xml:space="preserve">0xD05202900502ab7a075249078f0816a163319b87</t>
  </si>
  <si>
    <t xml:space="preserve">0xD0dca420feFda68537695A8D887080eeF4030AF7</t>
  </si>
  <si>
    <t xml:space="preserve">0xD2670EedcD21116c6F0B331Ce391eA4B3Bf1aB19</t>
  </si>
  <si>
    <t xml:space="preserve">0xD3805207b65d99C075ceA938Fa7c0587026a5DF5</t>
  </si>
  <si>
    <t xml:space="preserve">0xD4883084389fC1Eeb4dAfB2ADcFc36B711c310EB</t>
  </si>
  <si>
    <t xml:space="preserve">0xDEed16fe4b1c9b2a93483EDFf34C77A9b57D31Ff</t>
  </si>
  <si>
    <t xml:space="preserve">0xE885941aF52eab9E7f4c67392eACd96ea2A65d9B</t>
  </si>
  <si>
    <t xml:space="preserve">0xEc4AdA26E51f2685279F37C8aE62BeAd8212D597</t>
  </si>
  <si>
    <t xml:space="preserve">0xEdF170Da58598955e9a63DA43885842108969129</t>
  </si>
  <si>
    <t xml:space="preserve">0xEf30f29Dcd3FCB1DCcDA9C7Cbf2A5957E8Ee9Cc3</t>
  </si>
  <si>
    <t xml:space="preserve">0xF16E63B42Df7f2676B373979120BBf7e6298F473</t>
  </si>
  <si>
    <t xml:space="preserve">0xF1854214392864c628A16930E73B699f7a51b3EE</t>
  </si>
  <si>
    <t xml:space="preserve">0xF7F0DaB0BECE4498dAc7eb616e288809D4499371</t>
  </si>
  <si>
    <t xml:space="preserve">0xF90A3d406C6F8321fe118861A357F4D7107760D7</t>
  </si>
  <si>
    <t xml:space="preserve">0xFC62DeF1f08793aBf0E67f69257c6be258194F72</t>
  </si>
  <si>
    <t xml:space="preserve">0xFb14C0EcA994334fF16b2cd58Aade07E08B092f7</t>
  </si>
  <si>
    <t xml:space="preserve">0xFf06aFcaABaDDd1fb08371f9ccA15D73D51FeBD6</t>
  </si>
  <si>
    <t xml:space="preserve">0xa2931C37957f3079d3B21b877d56E1db930e02a5</t>
  </si>
  <si>
    <t xml:space="preserve">0xa377b8269e0A47cdd2fD5AAeAe860b45623c6d82</t>
  </si>
  <si>
    <t xml:space="preserve">0xa469a2B71E027e4223E596d53792efE631FDBc7E</t>
  </si>
  <si>
    <t xml:space="preserve">0xa5E13796eB7d2EDCc88012c8cfF90D69B51FcF9f</t>
  </si>
  <si>
    <t xml:space="preserve">0xa9f0a79433Cd2A0c483586C8c50627577f16F16e</t>
  </si>
  <si>
    <t xml:space="preserve">0xaCA2f65aFDa2cbC8BF28DdE096eCF83aCd121c0b</t>
  </si>
  <si>
    <t xml:space="preserve">0xb201817dFdd822B75Fa9b595457E6Ee466a7C187</t>
  </si>
  <si>
    <t xml:space="preserve">0xb2C9034279a8928fe75A0300F61d52fB87CAf106</t>
  </si>
  <si>
    <t xml:space="preserve">0xb347c2cbfc32e0bdf365183635352e0C38c97147</t>
  </si>
  <si>
    <t xml:space="preserve">0xb5163440d5EBbdC23bC7A091466EB5a621093BFe</t>
  </si>
  <si>
    <t xml:space="preserve">0xb6BdD0311F634E136e2d4D5aDe09F5D6C8B911c3</t>
  </si>
  <si>
    <t xml:space="preserve">0xb7C9307fE90B9AB093c6D3EdeE3259f5378D5f03</t>
  </si>
  <si>
    <t xml:space="preserve">0xc3F23848Ed2e04C0c6d41bd7804fa8f89F940B94</t>
  </si>
  <si>
    <t xml:space="preserve">0xc756cFc1b7d0d4646589EDf10eD54b201237F5e8</t>
  </si>
  <si>
    <t xml:space="preserve">0xcBd099Fe6D0257D47ec1CD1CD8f35fa3170F6d33</t>
  </si>
  <si>
    <t xml:space="preserve">0xcDA455DfD9C938451BfaFC6FF0D497c8C0469C96</t>
  </si>
  <si>
    <t xml:space="preserve">0xcae1ed52e7914B4b89c4E49a9d5bdF7425E69252</t>
  </si>
  <si>
    <t xml:space="preserve">0xccA408a6A9A6dc405C3278647421eb4317466943</t>
  </si>
  <si>
    <t xml:space="preserve">0xcfacC141f090E5441D8F274659D43ec20F748b19</t>
  </si>
  <si>
    <t xml:space="preserve">0xd0133980785c4DA716445Dd503804Cad858A5ecB</t>
  </si>
  <si>
    <t xml:space="preserve">0xd76080269C641e1adb786b72ae60Ddac3b6b8ed0</t>
  </si>
  <si>
    <t xml:space="preserve">0xd785272D240B07719e417622cbd2cfA0E584d1bd</t>
  </si>
  <si>
    <t xml:space="preserve">0xd7CF8c05fd81b8cA7CfF8E6C49B08a9D63265c9B</t>
  </si>
  <si>
    <t xml:space="preserve">0xdB5B9F7aA064fA5CF8C51e71be0345Ac0Ee1d8b2</t>
  </si>
  <si>
    <t xml:space="preserve">0xddf4C3e791caCaFd26D7fb275549739B38ae6e75</t>
  </si>
  <si>
    <t xml:space="preserve">0xe0B988062A0C6492177d64823Ab95a9c256c2a5F</t>
  </si>
  <si>
    <t xml:space="preserve">0xe588450a425FC74D464A710306DFaB9Fc2B8De0a</t>
  </si>
  <si>
    <t xml:space="preserve">0xe7a61510EA7197281b49e5bdf1798608d5132595</t>
  </si>
  <si>
    <t xml:space="preserve">0xeA87ae93Fa0019a82A727bfd3eBd1cFCa8f64f1D</t>
  </si>
  <si>
    <t xml:space="preserve">0xf44bae1e60bD5B895B2c5bAfF26C49B7e324E36C</t>
  </si>
  <si>
    <t xml:space="preserve">0xf6b38B8413348052B0DC94eB0BC7B329B93fc611</t>
  </si>
  <si>
    <t xml:space="preserve">0xf7bAD571C3F043b0577ce6207630A01BF6092D6A</t>
  </si>
  <si>
    <t xml:space="preserve">0xfc8d0D2E15A36f1A3F3aE3Cb127B706c1f23Aadc</t>
  </si>
  <si>
    <t xml:space="preserve">0xfce6066e1dED1aD1315cb54D7e263469F4efcc68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</si>
</sst>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"/>
    <numFmt numFmtId="167" formatCode="0.0"/>
    <numFmt numFmtId="168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5" hidden="false" customHeight="true" outlineLevel="0" collapsed="false">
      <c r="A1" s="1" t="s">
        <v>0</v>
      </c>
    </row>
    <row r="3" customFormat="false" ht="15.75" hidden="false" customHeight="true" outlineLevel="0" collapsed="false">
      <c r="A3" s="2" t="s">
        <v>1</v>
      </c>
    </row>
    <row r="4" customFormat="false" ht="15" hidden="false" customHeight="false" outlineLevel="0" collapsed="false">
      <c r="A4" s="3" t="str">
        <f aca="false">"Addresses queried: "&amp;COUNTA(Data!A2:A178)&amp;"  |  Chains covered: 1"</f>
        <v>Addresses queried: 177  |  Chains covered: 1</v>
      </c>
    </row>
    <row r="5" customFormat="false" ht="15" hidden="false" customHeight="false" outlineLevel="0" collapsed="false">
      <c r="A5" s="3" t="str">
        <f aca="false">"Contracts with resolved bytecode: "&amp;SUM(Data!C2:C178)&amp;"  |  No bytecode (EOA/unverified): "&amp;(COUNTA(Data!A2:A178)-SUM(Data!C2:C178))</f>
        <v>Contracts with resolved bytecode: 61  |  No bytecode (EOA/unverified): 116</v>
      </c>
    </row>
    <row r="6" customFormat="false" ht="15" hidden="false" customHeight="false" outlineLevel="0" collapsed="false">
      <c r="A6" s="3" t="str">
        <f aca="false">"Overall vulnerable (&gt;=1 tool): "&amp;TEXT(Per_Vulnerability_Analysis!C15/Per_Vulnerability_Analysis!D15,"0.0%")&amp;" of resolved contracts ("&amp;Per_Vulnerability_Analysis!C15&amp;"/"&amp;Per_Vulnerability_Analysis!D15&amp;")"</f>
        <v>Overall vulnerable (&gt;=1 tool): 100.0% of resolved contracts (61/61)</v>
      </c>
    </row>
    <row r="7" customFormat="false" ht="15" hidden="false" customHeight="false" outlineLevel="0" collapsed="false">
      <c r="A7" s="3" t="str">
        <f aca="false">"MAIAN flag rate: "&amp;TEXT(Tool_Wise_Analysis!E4,"0.0%")</f>
        <v>MAIAN flag rate: 82.0%</v>
      </c>
    </row>
    <row r="8" customFormat="false" ht="15" hidden="false" customHeight="false" outlineLevel="0" collapsed="false">
      <c r="A8" s="3" t="str">
        <f aca="false">"Mythril flag rate: "&amp;TEXT(Tool_Wise_Analysis!E5,"0.0%")</f>
        <v>Mythril flag rate: 26.2%</v>
      </c>
    </row>
    <row r="9" customFormat="false" ht="15" hidden="false" customHeight="false" outlineLevel="0" collapsed="false">
      <c r="A9" s="3" t="str">
        <f aca="false">"Tool agreement (Jaccard, MAIAN vs Mythril): "&amp;TEXT(Agreement_Jaccard!B11,"0.0000")</f>
        <v>Tool agreement (Jaccard, MAIAN vs Mythril): 0.0820</v>
      </c>
    </row>
    <row r="11" customFormat="false" ht="15.75" hidden="false" customHeight="true" outlineLevel="0" collapsed="false">
      <c r="A11" s="2" t="s">
        <v>2</v>
      </c>
    </row>
    <row r="12" customFormat="false" ht="15" hidden="false" customHeight="false" outlineLevel="0" collapsed="false">
      <c r="A12" s="3" t="str">
        <f aca="false">"Highest-prevalence category: "&amp;INDEX(Per_Vulnerability_Analysis!A5:A14,MATCH(MAX(Per_Vulnerability_Analysis!C5:C14),Per_Vulnerability_Analysis!C5:C14,0))&amp;" ("&amp;TEXT(MAX(Per_Vulnerability_Analysis!E5:E14),"0.0%")&amp;" prevalence)"</f>
        <v>Highest-prevalence category: Ether Leak (82.0% prevalence)</v>
      </c>
    </row>
    <row r="13" customFormat="false" ht="15" hidden="false" customHeight="false" outlineLevel="0" collapsed="false">
      <c r="A13" s="3" t="str">
        <f aca="false">"Only MAIAN and Mythril returned detections in this run; 8 of 11 tracked categories show zero hits — see Formula_Definitions / Per_Vulnerability_Analysis."</f>
        <v>Only MAIAN and Mythril returned detections in this run; 8 of 11 tracked categories show zero hits — see Formula_Definitions / Per_Vulnerability_Analysis.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48"/>
  </cols>
  <sheetData>
    <row r="1" customFormat="false" ht="15" hidden="false" customHeight="false" outlineLevel="0" collapsed="false">
      <c r="A1" s="4" t="s">
        <v>3</v>
      </c>
      <c r="B1" s="4" t="s">
        <v>4</v>
      </c>
      <c r="C1" s="4" t="s">
        <v>5</v>
      </c>
    </row>
    <row r="2" customFormat="false" ht="23.85" hidden="false" customHeight="false" outlineLevel="0" collapsed="false">
      <c r="A2" s="5" t="s">
        <v>6</v>
      </c>
      <c r="B2" s="5" t="s">
        <v>7</v>
      </c>
      <c r="C2" s="5" t="s">
        <v>8</v>
      </c>
    </row>
    <row r="3" customFormat="false" ht="23.85" hidden="false" customHeight="false" outlineLevel="0" collapsed="false">
      <c r="A3" s="5" t="s">
        <v>9</v>
      </c>
      <c r="B3" s="5" t="s">
        <v>10</v>
      </c>
      <c r="C3" s="5" t="s">
        <v>11</v>
      </c>
    </row>
    <row r="4" customFormat="false" ht="15" hidden="false" customHeight="false" outlineLevel="0" collapsed="false">
      <c r="A4" s="5" t="s">
        <v>12</v>
      </c>
      <c r="B4" s="5" t="s">
        <v>13</v>
      </c>
      <c r="C4" s="5" t="s">
        <v>14</v>
      </c>
    </row>
    <row r="5" customFormat="false" ht="15" hidden="false" customHeight="false" outlineLevel="0" collapsed="false">
      <c r="A5" s="5" t="s">
        <v>15</v>
      </c>
      <c r="B5" s="5" t="s">
        <v>16</v>
      </c>
      <c r="C5" s="5" t="s">
        <v>17</v>
      </c>
    </row>
    <row r="6" customFormat="false" ht="15" hidden="false" customHeight="false" outlineLevel="0" collapsed="false">
      <c r="A6" s="5" t="s">
        <v>18</v>
      </c>
      <c r="B6" s="5" t="s">
        <v>19</v>
      </c>
      <c r="C6" s="5" t="s">
        <v>20</v>
      </c>
    </row>
    <row r="7" customFormat="false" ht="15" hidden="false" customHeight="false" outlineLevel="0" collapsed="false">
      <c r="A7" s="5" t="s">
        <v>21</v>
      </c>
      <c r="B7" s="5" t="s">
        <v>22</v>
      </c>
      <c r="C7" s="5" t="s">
        <v>23</v>
      </c>
    </row>
    <row r="8" customFormat="false" ht="23.85" hidden="false" customHeight="false" outlineLevel="0" collapsed="false">
      <c r="A8" s="5" t="s">
        <v>24</v>
      </c>
      <c r="B8" s="5" t="s">
        <v>25</v>
      </c>
      <c r="C8" s="5" t="s">
        <v>26</v>
      </c>
    </row>
    <row r="9" customFormat="false" ht="15" hidden="false" customHeight="false" outlineLevel="0" collapsed="false">
      <c r="A9" s="5" t="s">
        <v>27</v>
      </c>
      <c r="B9" s="5" t="s">
        <v>28</v>
      </c>
      <c r="C9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" t="s">
        <v>30</v>
      </c>
      <c r="B1" s="6"/>
      <c r="C1" s="6"/>
      <c r="D1" s="6"/>
      <c r="E1" s="6"/>
      <c r="F1" s="6"/>
    </row>
    <row r="3" customFormat="false" ht="26.85" hidden="false" customHeight="false" outlineLevel="0" collapsed="false">
      <c r="A3" s="7" t="s">
        <v>31</v>
      </c>
      <c r="B3" s="7" t="s">
        <v>32</v>
      </c>
      <c r="C3" s="7" t="s">
        <v>6</v>
      </c>
      <c r="D3" s="7" t="s">
        <v>9</v>
      </c>
      <c r="E3" s="7" t="s">
        <v>12</v>
      </c>
      <c r="F3" s="7" t="s">
        <v>33</v>
      </c>
    </row>
    <row r="4" customFormat="false" ht="15" hidden="false" customHeight="false" outlineLevel="0" collapsed="false">
      <c r="A4" s="8" t="s">
        <v>34</v>
      </c>
      <c r="B4" s="8" t="s">
        <v>35</v>
      </c>
      <c r="C4" s="8" t="n">
        <f aca="false">COUNTIF(Data!E2:E178,"&lt;&gt;")</f>
        <v>0</v>
      </c>
      <c r="D4" s="8" t="n">
        <f aca="false">SUM(Data!C2:C178)</f>
        <v>61</v>
      </c>
      <c r="E4" s="9" t="n">
        <f aca="false">IF(D4=0,0,C4/D4)</f>
        <v>0</v>
      </c>
      <c r="F4" s="10" t="s">
        <v>36</v>
      </c>
    </row>
    <row r="5" customFormat="false" ht="15" hidden="false" customHeight="false" outlineLevel="0" collapsed="false">
      <c r="A5" s="8" t="s">
        <v>37</v>
      </c>
      <c r="B5" s="8" t="s">
        <v>38</v>
      </c>
      <c r="C5" s="8" t="n">
        <f aca="false">COUNTIF(Data!F2:F178,"&lt;&gt;")</f>
        <v>16</v>
      </c>
      <c r="D5" s="8" t="n">
        <f aca="false">SUM(Data!C2:C178)</f>
        <v>61</v>
      </c>
      <c r="E5" s="9" t="n">
        <f aca="false">IF(D5=0,0,C5/D5)</f>
        <v>0.262295081967213</v>
      </c>
      <c r="F5" s="10" t="s">
        <v>39</v>
      </c>
    </row>
    <row r="6" customFormat="false" ht="15" hidden="false" customHeight="false" outlineLevel="0" collapsed="false">
      <c r="A6" s="8" t="s">
        <v>40</v>
      </c>
      <c r="B6" s="8" t="s">
        <v>35</v>
      </c>
      <c r="C6" s="8" t="n">
        <f aca="false">COUNTIF(Data!G2:G178,"&lt;&gt;")</f>
        <v>0</v>
      </c>
      <c r="D6" s="8" t="n">
        <f aca="false">SUM(Data!C2:C178)</f>
        <v>61</v>
      </c>
      <c r="E6" s="9" t="n">
        <f aca="false">IF(D6=0,0,C6/D6)</f>
        <v>0</v>
      </c>
      <c r="F6" s="10" t="s">
        <v>36</v>
      </c>
    </row>
    <row r="7" customFormat="false" ht="15" hidden="false" customHeight="false" outlineLevel="0" collapsed="false">
      <c r="A7" s="8" t="s">
        <v>41</v>
      </c>
      <c r="B7" s="8" t="s">
        <v>35</v>
      </c>
      <c r="C7" s="8" t="n">
        <f aca="false">COUNTIF(Data!H2:H178,"&lt;&gt;")</f>
        <v>0</v>
      </c>
      <c r="D7" s="8" t="n">
        <f aca="false">SUM(Data!C2:C178)</f>
        <v>61</v>
      </c>
      <c r="E7" s="9" t="n">
        <f aca="false">IF(D7=0,0,C7/D7)</f>
        <v>0</v>
      </c>
      <c r="F7" s="10" t="s">
        <v>36</v>
      </c>
    </row>
    <row r="8" customFormat="false" ht="15" hidden="false" customHeight="false" outlineLevel="0" collapsed="false">
      <c r="A8" s="8" t="s">
        <v>42</v>
      </c>
      <c r="B8" s="8" t="s">
        <v>35</v>
      </c>
      <c r="C8" s="8" t="n">
        <f aca="false">COUNTIF(Data!I2:I178,"&lt;&gt;")</f>
        <v>0</v>
      </c>
      <c r="D8" s="8" t="n">
        <f aca="false">SUM(Data!C2:C178)</f>
        <v>61</v>
      </c>
      <c r="E8" s="9" t="n">
        <f aca="false">IF(D8=0,0,C8/D8)</f>
        <v>0</v>
      </c>
      <c r="F8" s="10" t="s">
        <v>36</v>
      </c>
    </row>
    <row r="9" customFormat="false" ht="15" hidden="false" customHeight="false" outlineLevel="0" collapsed="false">
      <c r="A9" s="8" t="s">
        <v>43</v>
      </c>
      <c r="B9" s="8" t="s">
        <v>35</v>
      </c>
      <c r="C9" s="8" t="n">
        <f aca="false">COUNTIF(Data!J2:J178,"&lt;&gt;")</f>
        <v>0</v>
      </c>
      <c r="D9" s="8" t="n">
        <f aca="false">SUM(Data!C2:C178)</f>
        <v>61</v>
      </c>
      <c r="E9" s="9" t="n">
        <f aca="false">IF(D9=0,0,C9/D9)</f>
        <v>0</v>
      </c>
      <c r="F9" s="10" t="s">
        <v>36</v>
      </c>
    </row>
    <row r="10" customFormat="false" ht="15" hidden="false" customHeight="false" outlineLevel="0" collapsed="false">
      <c r="A10" s="8" t="s">
        <v>44</v>
      </c>
      <c r="B10" s="8" t="s">
        <v>35</v>
      </c>
      <c r="C10" s="8" t="n">
        <f aca="false">COUNTIF(Data!K2:K178,"&lt;&gt;")</f>
        <v>0</v>
      </c>
      <c r="D10" s="8" t="n">
        <f aca="false">SUM(Data!C2:C178)</f>
        <v>61</v>
      </c>
      <c r="E10" s="9" t="n">
        <f aca="false">IF(D10=0,0,C10/D10)</f>
        <v>0</v>
      </c>
      <c r="F10" s="10" t="s">
        <v>36</v>
      </c>
    </row>
    <row r="11" customFormat="false" ht="15" hidden="false" customHeight="false" outlineLevel="0" collapsed="false">
      <c r="A11" s="8" t="s">
        <v>45</v>
      </c>
      <c r="B11" s="8" t="s">
        <v>35</v>
      </c>
      <c r="C11" s="8" t="n">
        <f aca="false">COUNTIF(Data!L2:L178,"&lt;&gt;")</f>
        <v>0</v>
      </c>
      <c r="D11" s="8" t="n">
        <f aca="false">SUM(Data!C2:C178)</f>
        <v>61</v>
      </c>
      <c r="E11" s="9" t="n">
        <f aca="false">IF(D11=0,0,C11/D11)</f>
        <v>0</v>
      </c>
      <c r="F11" s="10" t="s">
        <v>36</v>
      </c>
    </row>
    <row r="12" customFormat="false" ht="15" hidden="false" customHeight="false" outlineLevel="0" collapsed="false">
      <c r="A12" s="8" t="s">
        <v>46</v>
      </c>
      <c r="B12" s="8" t="s">
        <v>35</v>
      </c>
      <c r="C12" s="8" t="n">
        <f aca="false">COUNTIF(Data!M2:M178,"&lt;&gt;")</f>
        <v>0</v>
      </c>
      <c r="D12" s="8" t="n">
        <f aca="false">SUM(Data!C2:C178)</f>
        <v>61</v>
      </c>
      <c r="E12" s="9" t="n">
        <f aca="false">IF(D12=0,0,C12/D12)</f>
        <v>0</v>
      </c>
      <c r="F12" s="10" t="s">
        <v>36</v>
      </c>
    </row>
    <row r="13" customFormat="false" ht="15" hidden="false" customHeight="false" outlineLevel="0" collapsed="false">
      <c r="A13" s="8" t="s">
        <v>47</v>
      </c>
      <c r="B13" s="8" t="s">
        <v>48</v>
      </c>
      <c r="C13" s="8" t="n">
        <f aca="false">COUNTIF(Data!N2:N178,"&lt;&gt;")</f>
        <v>20</v>
      </c>
      <c r="D13" s="8" t="n">
        <f aca="false">SUM(Data!C2:C178)</f>
        <v>61</v>
      </c>
      <c r="E13" s="9" t="n">
        <f aca="false">IF(D13=0,0,C13/D13)</f>
        <v>0.327868852459016</v>
      </c>
      <c r="F13" s="10" t="s">
        <v>39</v>
      </c>
    </row>
    <row r="14" customFormat="false" ht="15" hidden="false" customHeight="false" outlineLevel="0" collapsed="false">
      <c r="A14" s="8" t="s">
        <v>49</v>
      </c>
      <c r="B14" s="8" t="s">
        <v>48</v>
      </c>
      <c r="C14" s="8" t="n">
        <f aca="false">COUNTIF(Data!O2:O178,"&lt;&gt;")</f>
        <v>50</v>
      </c>
      <c r="D14" s="8" t="n">
        <f aca="false">SUM(Data!C2:C178)</f>
        <v>61</v>
      </c>
      <c r="E14" s="9" t="n">
        <f aca="false">IF(D14=0,0,C14/D14)</f>
        <v>0.819672131147541</v>
      </c>
      <c r="F14" s="10" t="s">
        <v>39</v>
      </c>
    </row>
    <row r="15" customFormat="false" ht="15" hidden="false" customHeight="false" outlineLevel="0" collapsed="false">
      <c r="A15" s="11" t="s">
        <v>50</v>
      </c>
      <c r="B15" s="11" t="s">
        <v>51</v>
      </c>
      <c r="C15" s="11" t="n">
        <f aca="false">COUNTIFS(Data!C2:C178,1,Data!P2:P178,"Yes")</f>
        <v>61</v>
      </c>
      <c r="D15" s="11" t="n">
        <f aca="false">SUM(Data!C2:C178)</f>
        <v>61</v>
      </c>
      <c r="E15" s="12" t="n">
        <f aca="false">IF(D15=0,0,C15/D15)</f>
        <v>1</v>
      </c>
      <c r="F15" s="13" t="s">
        <v>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6" t="s">
        <v>53</v>
      </c>
      <c r="B1" s="6"/>
      <c r="C1" s="6"/>
      <c r="D1" s="6"/>
    </row>
    <row r="3" customFormat="false" ht="15" hidden="false" customHeight="false" outlineLevel="0" collapsed="false">
      <c r="A3" s="14" t="s">
        <v>54</v>
      </c>
      <c r="B3" s="14"/>
      <c r="C3" s="14"/>
      <c r="D3" s="14"/>
    </row>
    <row r="5" customFormat="false" ht="15" hidden="false" customHeight="false" outlineLevel="0" collapsed="false">
      <c r="A5" s="15" t="s">
        <v>18</v>
      </c>
      <c r="B5" s="15" t="s">
        <v>55</v>
      </c>
      <c r="C5" s="15" t="s">
        <v>56</v>
      </c>
      <c r="D5" s="15" t="s">
        <v>33</v>
      </c>
    </row>
    <row r="6" customFormat="false" ht="15" hidden="false" customHeight="false" outlineLevel="0" collapsed="false">
      <c r="A6" s="8" t="s">
        <v>57</v>
      </c>
      <c r="B6" s="8" t="n">
        <f aca="false">SUMPRODUCT((Data!C2:C178=1)*(((Data!F2:F178&lt;&gt;"")+(Data!N2:N178&lt;&gt;"")+(Data!O2:O178&lt;&gt;""))=0))</f>
        <v>0</v>
      </c>
      <c r="C6" s="9" t="n">
        <f aca="false">IF(SUM(Data!C2:C178)=0,0,B6/SUM(Data!C2:C178))</f>
        <v>0</v>
      </c>
      <c r="D6" s="16"/>
    </row>
    <row r="7" customFormat="false" ht="15" hidden="false" customHeight="false" outlineLevel="0" collapsed="false">
      <c r="A7" s="8" t="s">
        <v>58</v>
      </c>
      <c r="B7" s="8" t="n">
        <f aca="false">SUMPRODUCT((Data!C2:C178=1)*(((Data!F2:F178&lt;&gt;"")+(Data!N2:N178&lt;&gt;"")+(Data!O2:O178&lt;&gt;""))=1))</f>
        <v>40</v>
      </c>
      <c r="C7" s="9" t="n">
        <f aca="false">IF(SUM(Data!C2:C178)=0,0,B7/SUM(Data!C2:C178))</f>
        <v>0.655737704918033</v>
      </c>
      <c r="D7" s="16"/>
    </row>
    <row r="8" customFormat="false" ht="15" hidden="false" customHeight="false" outlineLevel="0" collapsed="false">
      <c r="A8" s="8" t="s">
        <v>59</v>
      </c>
      <c r="B8" s="8" t="n">
        <f aca="false">SUMPRODUCT((Data!C2:C178=1)*(((Data!F2:F178&lt;&gt;"")+(Data!N2:N178&lt;&gt;"")+(Data!O2:O178&lt;&gt;""))=2))</f>
        <v>17</v>
      </c>
      <c r="C8" s="9" t="n">
        <f aca="false">IF(SUM(Data!C2:C178)=0,0,B8/SUM(Data!C2:C178))</f>
        <v>0.278688524590164</v>
      </c>
      <c r="D8" s="16"/>
    </row>
    <row r="9" customFormat="false" ht="15" hidden="false" customHeight="false" outlineLevel="0" collapsed="false">
      <c r="A9" s="8" t="s">
        <v>60</v>
      </c>
      <c r="B9" s="8" t="n">
        <f aca="false">SUMPRODUCT((Data!C2:C178=1)*(((Data!F2:F178&lt;&gt;"")+(Data!N2:N178&lt;&gt;"")+(Data!O2:O178&lt;&gt;""))=3))</f>
        <v>4</v>
      </c>
      <c r="C9" s="9" t="n">
        <f aca="false">IF(SUM(Data!C2:C178)=0,0,B9/SUM(Data!C2:C178))</f>
        <v>0.0655737704918033</v>
      </c>
      <c r="D9" s="16"/>
    </row>
    <row r="10" customFormat="false" ht="15" hidden="false" customHeight="false" outlineLevel="0" collapsed="false">
      <c r="A10" s="11" t="s">
        <v>61</v>
      </c>
      <c r="B10" s="11" t="n">
        <f aca="false">SUM(B6:B9)</f>
        <v>61</v>
      </c>
    </row>
    <row r="12" customFormat="false" ht="15" hidden="false" customHeight="false" outlineLevel="0" collapsed="false">
      <c r="A12" s="8" t="s">
        <v>62</v>
      </c>
      <c r="B12" s="8" t="n">
        <f aca="false">COUNTIF(Data!E2:E178,"&lt;&gt;")+COUNTIF(Data!F2:F178,"&lt;&gt;")+COUNTIF(Data!G2:G178,"&lt;&gt;")+COUNTIF(Data!H2:H178,"&lt;&gt;")+COUNTIF(Data!I2:I178,"&lt;&gt;")+COUNTIF(Data!J2:J178,"&lt;&gt;")+COUNTIF(Data!K2:K178,"&lt;&gt;")+COUNTIF(Data!L2:L178,"&lt;&gt;")+COUNTIF(Data!M2:M178,"&lt;&gt;")+COUNTIF(Data!N2:N178,"&lt;&gt;")+COUNTIF(Data!O2:O178,"&lt;&gt;")</f>
        <v>86</v>
      </c>
    </row>
    <row r="13" customFormat="false" ht="15" hidden="false" customHeight="false" outlineLevel="0" collapsed="false">
      <c r="A13" s="8" t="s">
        <v>63</v>
      </c>
      <c r="B13" s="17" t="n">
        <f aca="false">B12/SUM(Data!C2:C178)</f>
        <v>1.40983606557377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" t="s">
        <v>64</v>
      </c>
      <c r="B1" s="6"/>
      <c r="C1" s="6"/>
      <c r="D1" s="6"/>
      <c r="E1" s="6"/>
      <c r="F1" s="6"/>
    </row>
    <row r="3" customFormat="false" ht="26.85" hidden="false" customHeight="false" outlineLevel="0" collapsed="false">
      <c r="A3" s="7" t="s">
        <v>65</v>
      </c>
      <c r="B3" s="7" t="s">
        <v>66</v>
      </c>
      <c r="C3" s="7" t="s">
        <v>67</v>
      </c>
      <c r="D3" s="7" t="s">
        <v>9</v>
      </c>
      <c r="E3" s="7" t="s">
        <v>68</v>
      </c>
      <c r="F3" s="7" t="s">
        <v>33</v>
      </c>
    </row>
    <row r="4" customFormat="false" ht="15" hidden="false" customHeight="false" outlineLevel="0" collapsed="false">
      <c r="A4" s="8" t="s">
        <v>48</v>
      </c>
      <c r="B4" s="8" t="s">
        <v>69</v>
      </c>
      <c r="C4" s="8" t="n">
        <f aca="false">SUM(Data!Q2:Q178)</f>
        <v>50</v>
      </c>
      <c r="D4" s="8" t="n">
        <f aca="false">SUM(Data!C2:C178)</f>
        <v>61</v>
      </c>
      <c r="E4" s="9" t="n">
        <f aca="false">IF(D4=0,0,C4/D4)</f>
        <v>0.819672131147541</v>
      </c>
      <c r="F4" s="10" t="s">
        <v>70</v>
      </c>
    </row>
    <row r="5" customFormat="false" ht="15" hidden="false" customHeight="false" outlineLevel="0" collapsed="false">
      <c r="A5" s="8" t="s">
        <v>38</v>
      </c>
      <c r="B5" s="8" t="s">
        <v>37</v>
      </c>
      <c r="C5" s="8" t="n">
        <f aca="false">SUM(Data!R2:R178)</f>
        <v>16</v>
      </c>
      <c r="D5" s="8" t="n">
        <f aca="false">SUM(Data!C2:C178)</f>
        <v>61</v>
      </c>
      <c r="E5" s="9" t="n">
        <f aca="false">IF(D5=0,0,C5/D5)</f>
        <v>0.262295081967213</v>
      </c>
      <c r="F5" s="10" t="s">
        <v>71</v>
      </c>
    </row>
    <row r="6" customFormat="false" ht="15" hidden="false" customHeight="false" outlineLevel="0" collapsed="false">
      <c r="A6" s="8" t="s">
        <v>72</v>
      </c>
      <c r="B6" s="18" t="s">
        <v>73</v>
      </c>
      <c r="C6" s="8" t="n">
        <v>0</v>
      </c>
      <c r="D6" s="8" t="n">
        <f aca="false">SUM(Data!C2:C178)</f>
        <v>61</v>
      </c>
      <c r="E6" s="9" t="n">
        <v>0</v>
      </c>
      <c r="F6" s="10" t="s">
        <v>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6" t="s">
        <v>75</v>
      </c>
      <c r="B1" s="6"/>
      <c r="C1" s="6"/>
      <c r="D1" s="6"/>
    </row>
    <row r="3" customFormat="false" ht="15" hidden="false" customHeight="false" outlineLevel="0" collapsed="false">
      <c r="A3" s="8" t="s">
        <v>76</v>
      </c>
      <c r="B3" s="8" t="n">
        <f aca="false">COUNTA(Data!A2:A178)</f>
        <v>177</v>
      </c>
      <c r="C3" s="16"/>
      <c r="D3" s="10"/>
    </row>
    <row r="4" customFormat="false" ht="15" hidden="false" customHeight="false" outlineLevel="0" collapsed="false">
      <c r="A4" s="8" t="s">
        <v>77</v>
      </c>
      <c r="B4" s="8" t="n">
        <v>1</v>
      </c>
      <c r="C4" s="16"/>
      <c r="D4" s="10"/>
    </row>
    <row r="5" customFormat="false" ht="15" hidden="false" customHeight="false" outlineLevel="0" collapsed="false">
      <c r="A5" s="8" t="s">
        <v>78</v>
      </c>
      <c r="B5" s="8" t="n">
        <f aca="false">SUM(Data!C2:C178)</f>
        <v>61</v>
      </c>
      <c r="C5" s="16"/>
      <c r="D5" s="10"/>
    </row>
    <row r="6" customFormat="false" ht="15" hidden="false" customHeight="false" outlineLevel="0" collapsed="false">
      <c r="A6" s="8" t="s">
        <v>79</v>
      </c>
      <c r="B6" s="8" t="n">
        <f aca="false">COUNTA(Data!A2:A178)-SUM(Data!C2:C178)</f>
        <v>116</v>
      </c>
      <c r="C6" s="16"/>
      <c r="D6" s="10"/>
    </row>
    <row r="7" customFormat="false" ht="15" hidden="false" customHeight="false" outlineLevel="0" collapsed="false">
      <c r="A7" s="8" t="s">
        <v>80</v>
      </c>
      <c r="B7" s="8" t="n">
        <f aca="false">SUMPRODUCT((Data!C2:C178=1)*(Data!D2:D178=0))</f>
        <v>35</v>
      </c>
      <c r="C7" s="16"/>
      <c r="D7" s="10" t="s">
        <v>81</v>
      </c>
    </row>
    <row r="8" customFormat="false" ht="15" hidden="false" customHeight="false" outlineLevel="0" collapsed="false">
      <c r="A8" s="8" t="s">
        <v>82</v>
      </c>
      <c r="B8" s="19" t="n">
        <f aca="false">IF(SUMPRODUCT((Data!C2:C178=1)*(Data!D2:D178&gt;0))=0,0,SUMIF(Data!C2:C178,1,Data!D2:D178)/SUMPRODUCT((Data!C2:C178=1)*(Data!D2:D178&gt;0)))</f>
        <v>12328.3846153846</v>
      </c>
      <c r="C8" s="16"/>
      <c r="D8" s="10" t="s">
        <v>83</v>
      </c>
    </row>
    <row r="9" customFormat="false" ht="15" hidden="false" customHeight="false" outlineLevel="0" collapsed="false">
      <c r="A9" s="8" t="s">
        <v>84</v>
      </c>
      <c r="B9" s="8" t="n">
        <f aca="false">_xlfn.MINIFS(Data!D2:D178,Data!C2:C178,1,Data!D2:D178,"&gt;0")</f>
        <v>2108</v>
      </c>
      <c r="C9" s="16"/>
      <c r="D9" s="10"/>
    </row>
    <row r="10" customFormat="false" ht="15" hidden="false" customHeight="false" outlineLevel="0" collapsed="false">
      <c r="A10" s="8" t="s">
        <v>85</v>
      </c>
      <c r="B10" s="8" t="n">
        <f aca="false">_xlfn.MAXIFS(Data!D2:D178,Data!C2:C178,1)</f>
        <v>42200</v>
      </c>
      <c r="C10" s="16"/>
      <c r="D10" s="10"/>
    </row>
    <row r="12" customFormat="false" ht="15" hidden="false" customHeight="false" outlineLevel="0" collapsed="false">
      <c r="A12" s="20" t="s">
        <v>86</v>
      </c>
      <c r="B12" s="20"/>
      <c r="C12" s="20"/>
      <c r="D12" s="20"/>
    </row>
    <row r="13" customFormat="false" ht="15" hidden="false" customHeight="false" outlineLevel="0" collapsed="false">
      <c r="A13" s="15" t="s">
        <v>87</v>
      </c>
      <c r="B13" s="15" t="s">
        <v>88</v>
      </c>
      <c r="C13" s="15" t="s">
        <v>89</v>
      </c>
      <c r="D13" s="15" t="s">
        <v>90</v>
      </c>
    </row>
    <row r="14" customFormat="false" ht="15" hidden="false" customHeight="false" outlineLevel="0" collapsed="false">
      <c r="A14" s="8" t="s">
        <v>91</v>
      </c>
      <c r="B14" s="8" t="n">
        <f aca="false">COUNTIF(Data!B2:B178,A14)</f>
        <v>177</v>
      </c>
      <c r="C14" s="8" t="n">
        <f aca="false">COUNTIFS(Data!B2:B178,A14,Data!C2:C178,1)</f>
        <v>61</v>
      </c>
      <c r="D14" s="9" t="n">
        <f aca="false">IF(C14=0,0,(COUNTIFS(Data!B2:B178,A14,Data!C2:C178,1,Data!P2:P178,"Yes"))/C14)</f>
        <v>1</v>
      </c>
    </row>
  </sheetData>
  <mergeCells count="2">
    <mergeCell ref="A1:D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6" t="s">
        <v>92</v>
      </c>
      <c r="B1" s="6"/>
      <c r="C1" s="6"/>
      <c r="D1" s="6"/>
    </row>
    <row r="2" customFormat="false" ht="15" hidden="false" customHeight="false" outlineLevel="0" collapsed="false">
      <c r="A2" s="14" t="s">
        <v>93</v>
      </c>
      <c r="B2" s="14"/>
      <c r="C2" s="14"/>
      <c r="D2" s="14"/>
    </row>
    <row r="4" customFormat="false" ht="15" hidden="false" customHeight="false" outlineLevel="0" collapsed="false">
      <c r="A4" s="15" t="s">
        <v>94</v>
      </c>
      <c r="B4" s="15" t="s">
        <v>95</v>
      </c>
      <c r="C4" s="15" t="s">
        <v>56</v>
      </c>
      <c r="D4" s="15" t="s">
        <v>96</v>
      </c>
    </row>
    <row r="5" customFormat="false" ht="15" hidden="false" customHeight="false" outlineLevel="0" collapsed="false">
      <c r="A5" s="8" t="s">
        <v>97</v>
      </c>
      <c r="B5" s="8" t="n">
        <f aca="false">SUMPRODUCT((Data!C2:C178=1)*(Data!Q2:Q178=1)*(Data!R2:R178=1))</f>
        <v>5</v>
      </c>
      <c r="C5" s="9" t="n">
        <f aca="false">IF(SUM(Data!C2:C178)=0,0,B5/SUM(Data!C2:C178))</f>
        <v>0.0819672131147541</v>
      </c>
      <c r="D5" s="10" t="s">
        <v>98</v>
      </c>
    </row>
    <row r="6" customFormat="false" ht="15" hidden="false" customHeight="false" outlineLevel="0" collapsed="false">
      <c r="A6" s="8" t="s">
        <v>99</v>
      </c>
      <c r="B6" s="8" t="n">
        <f aca="false">SUMPRODUCT((Data!C2:C178=1)*(Data!Q2:Q178=1)*(Data!R2:R178=0))</f>
        <v>45</v>
      </c>
      <c r="C6" s="9" t="n">
        <f aca="false">IF(SUM(Data!C2:C178)=0,0,B6/SUM(Data!C2:C178))</f>
        <v>0.737704918032787</v>
      </c>
      <c r="D6" s="10" t="s">
        <v>100</v>
      </c>
    </row>
    <row r="7" customFormat="false" ht="15" hidden="false" customHeight="false" outlineLevel="0" collapsed="false">
      <c r="A7" s="8" t="s">
        <v>101</v>
      </c>
      <c r="B7" s="8" t="n">
        <f aca="false">SUMPRODUCT((Data!C2:C178=1)*(Data!Q2:Q178=0)*(Data!R2:R178=1))</f>
        <v>11</v>
      </c>
      <c r="C7" s="9" t="n">
        <f aca="false">IF(SUM(Data!C2:C178)=0,0,B7/SUM(Data!C2:C178))</f>
        <v>0.180327868852459</v>
      </c>
      <c r="D7" s="10" t="s">
        <v>102</v>
      </c>
    </row>
    <row r="8" customFormat="false" ht="15" hidden="false" customHeight="false" outlineLevel="0" collapsed="false">
      <c r="A8" s="8" t="s">
        <v>103</v>
      </c>
      <c r="B8" s="8" t="n">
        <f aca="false">SUMPRODUCT((Data!C2:C178=1)*(Data!Q2:Q178=0)*(Data!R2:R178=0))</f>
        <v>0</v>
      </c>
      <c r="C8" s="9" t="n">
        <f aca="false">IF(SUM(Data!C2:C178)=0,0,B8/SUM(Data!C2:C178))</f>
        <v>0</v>
      </c>
      <c r="D8" s="10" t="s">
        <v>104</v>
      </c>
    </row>
    <row r="10" customFormat="false" ht="15" hidden="false" customHeight="false" outlineLevel="0" collapsed="false">
      <c r="A10" s="21" t="s">
        <v>105</v>
      </c>
      <c r="B10" s="21" t="n">
        <f aca="false">B5+B6+B7</f>
        <v>61</v>
      </c>
    </row>
    <row r="11" customFormat="false" ht="15" hidden="false" customHeight="false" outlineLevel="0" collapsed="false">
      <c r="A11" s="11" t="s">
        <v>106</v>
      </c>
      <c r="B11" s="22" t="n">
        <f aca="false">IF(B10=0,0,B5/B10)</f>
        <v>0.0819672131147541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107</v>
      </c>
    </row>
    <row r="3" customFormat="false" ht="30" hidden="false" customHeight="true" outlineLevel="0" collapsed="false">
      <c r="A3" s="3" t="str">
        <f aca="false">"1. Bytecode resolution: "&amp;SUM(Data!C2:C178)&amp;" of "&amp;COUNTA(Data!A2:A178)&amp;" queried addresses ("&amp;TEXT(SUM(Data!C2:C178)/COUNTA(Data!A2:A178),"0.0%")&amp;") resolved to deployed bytecode; the rest are EOAs, unverified, or not found on-chain."</f>
        <v>1. Bytecode resolution: 61 of 177 queried addresses (34.5%) resolved to deployed bytecode; the rest are EOAs, unverified, or not found on-chain.</v>
      </c>
    </row>
    <row r="4" customFormat="false" ht="30" hidden="false" customHeight="true" outlineLevel="0" collapsed="false">
      <c r="A4" s="3" t="str">
        <f aca="false">"2. Detection coverage: only MAIAN and Mythril produced any detections. Reentrancy, Access Control, Delegatecall, Unchecked Call, Timestamp, TOD, DoS, Selfdestruct all show zero hits in this bytecode run."</f>
        <v>2. Detection coverage: only MAIAN and Mythril produced any detections. Reentrancy, Access Control, Delegatecall, Unchecked Call, Timestamp, TOD, DoS, Selfdestruct all show zero hits in this bytecode run.</v>
      </c>
    </row>
    <row r="5" customFormat="false" ht="30" hidden="false" customHeight="true" outlineLevel="0" collapsed="false">
      <c r="A5" s="3" t="str">
        <f aca="false">"3. Mythril flag rate ("&amp;TEXT(Tool_Wise_Analysis!E5,"0.0%")&amp;") vs MAIAN flag rate ("&amp;TEXT(Tool_Wise_Analysis!E4,"0.0%")&amp;") among resolved contracts."</f>
        <v>3. Mythril flag rate (26.2%) vs MAIAN flag rate (82.0%) among resolved contracts.</v>
      </c>
    </row>
    <row r="6" customFormat="false" ht="30" hidden="false" customHeight="true" outlineLevel="0" collapsed="false">
      <c r="A6" s="3" t="str">
        <f aca="false">"4. Tool overlap: Jaccard(MAIAN, Mythril) = "&amp;TEXT(Agreement_Jaccard!B11,"0.0000")&amp;" — "&amp;Agreement_Jaccard!B5&amp;" contracts triggered both tools, "&amp;Agreement_Jaccard!B6&amp;" only MAIAN, "&amp;Agreement_Jaccard!B7&amp;" only Mythril."</f>
        <v>4. Tool overlap: Jaccard(MAIAN, Mythril) = 0.0820 — 5 contracts triggered both tools, 45 only MAIAN, 11 only Mythril.</v>
      </c>
    </row>
    <row r="7" customFormat="false" ht="30" hidden="false" customHeight="true" outlineLevel="0" collapsed="false">
      <c r="A7" s="3" t="str">
        <f aca="false">"5. "&amp;Per_Vulnerability_Analysis!C15&amp;" of "&amp;Per_Vulnerability_Analysis!D15&amp;" resolved contracts ("&amp;TEXT(Per_Vulnerability_Analysis!C15/Per_Vulnerability_Analysis!D15,"0.0%")&amp;") were flagged by at least one tool."</f>
        <v>5. 61 of 61 resolved contracts (100.0%) were flagged by at least one tool.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15" min="5" style="0" width="12"/>
    <col collapsed="false" customWidth="true" hidden="false" outlineLevel="0" max="16" min="16" style="0" width="11"/>
    <col collapsed="false" customWidth="true" hidden="false" outlineLevel="0" max="18" min="17" style="0" width="13"/>
  </cols>
  <sheetData>
    <row r="1" customFormat="false" ht="15" hidden="false" customHeight="false" outlineLevel="0" collapsed="false">
      <c r="A1" s="15" t="s">
        <v>108</v>
      </c>
      <c r="B1" s="15" t="s">
        <v>87</v>
      </c>
      <c r="C1" s="15" t="s">
        <v>109</v>
      </c>
      <c r="D1" s="15" t="s">
        <v>110</v>
      </c>
      <c r="E1" s="15" t="s">
        <v>34</v>
      </c>
      <c r="F1" s="15" t="s">
        <v>37</v>
      </c>
      <c r="G1" s="15" t="s">
        <v>111</v>
      </c>
      <c r="H1" s="15" t="s">
        <v>41</v>
      </c>
      <c r="I1" s="15" t="s">
        <v>112</v>
      </c>
      <c r="J1" s="15" t="s">
        <v>43</v>
      </c>
      <c r="K1" s="15" t="s">
        <v>44</v>
      </c>
      <c r="L1" s="15" t="s">
        <v>45</v>
      </c>
      <c r="M1" s="15" t="s">
        <v>46</v>
      </c>
      <c r="N1" s="15" t="s">
        <v>113</v>
      </c>
      <c r="O1" s="15" t="s">
        <v>114</v>
      </c>
      <c r="P1" s="15" t="s">
        <v>115</v>
      </c>
      <c r="Q1" s="15" t="s">
        <v>116</v>
      </c>
      <c r="R1" s="15" t="s">
        <v>117</v>
      </c>
    </row>
    <row r="2" customFormat="false" ht="15" hidden="false" customHeight="false" outlineLevel="0" collapsed="false">
      <c r="A2" s="8" t="s">
        <v>118</v>
      </c>
      <c r="B2" s="8" t="s">
        <v>91</v>
      </c>
      <c r="C2" s="8" t="n">
        <v>1</v>
      </c>
      <c r="D2" s="8" t="n">
        <v>0</v>
      </c>
      <c r="E2" s="8"/>
      <c r="F2" s="8"/>
      <c r="G2" s="8"/>
      <c r="H2" s="8"/>
      <c r="I2" s="8"/>
      <c r="J2" s="8"/>
      <c r="K2" s="8"/>
      <c r="L2" s="8"/>
      <c r="M2" s="8"/>
      <c r="N2" s="8"/>
      <c r="O2" s="8" t="s">
        <v>48</v>
      </c>
      <c r="P2" s="8" t="s">
        <v>119</v>
      </c>
      <c r="Q2" s="8" t="n">
        <v>1</v>
      </c>
      <c r="R2" s="8" t="n">
        <v>0</v>
      </c>
    </row>
    <row r="3" customFormat="false" ht="15" hidden="false" customHeight="false" outlineLevel="0" collapsed="false">
      <c r="A3" s="8" t="s">
        <v>120</v>
      </c>
      <c r="B3" s="8" t="s">
        <v>91</v>
      </c>
      <c r="C3" s="8" t="n">
        <v>0</v>
      </c>
      <c r="D3" s="8" t="n">
        <v>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 t="s">
        <v>121</v>
      </c>
      <c r="Q3" s="8" t="n">
        <v>0</v>
      </c>
      <c r="R3" s="8" t="n">
        <v>0</v>
      </c>
    </row>
    <row r="4" customFormat="false" ht="15" hidden="false" customHeight="false" outlineLevel="0" collapsed="false">
      <c r="A4" s="8" t="s">
        <v>122</v>
      </c>
      <c r="B4" s="8" t="s">
        <v>91</v>
      </c>
      <c r="C4" s="8" t="n">
        <v>1</v>
      </c>
      <c r="D4" s="8" t="n">
        <v>0</v>
      </c>
      <c r="E4" s="8"/>
      <c r="F4" s="8"/>
      <c r="G4" s="8"/>
      <c r="H4" s="8"/>
      <c r="I4" s="8"/>
      <c r="J4" s="8"/>
      <c r="K4" s="8"/>
      <c r="L4" s="8"/>
      <c r="M4" s="8"/>
      <c r="N4" s="8" t="s">
        <v>48</v>
      </c>
      <c r="O4" s="8" t="s">
        <v>48</v>
      </c>
      <c r="P4" s="8" t="s">
        <v>119</v>
      </c>
      <c r="Q4" s="8" t="n">
        <v>1</v>
      </c>
      <c r="R4" s="8" t="n">
        <v>0</v>
      </c>
    </row>
    <row r="5" customFormat="false" ht="15" hidden="false" customHeight="false" outlineLevel="0" collapsed="false">
      <c r="A5" s="8" t="s">
        <v>123</v>
      </c>
      <c r="B5" s="8" t="s">
        <v>91</v>
      </c>
      <c r="C5" s="8" t="n">
        <v>0</v>
      </c>
      <c r="D5" s="8" t="n">
        <v>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 t="s">
        <v>121</v>
      </c>
      <c r="Q5" s="8" t="n">
        <v>0</v>
      </c>
      <c r="R5" s="8" t="n">
        <v>0</v>
      </c>
    </row>
    <row r="6" customFormat="false" ht="15" hidden="false" customHeight="false" outlineLevel="0" collapsed="false">
      <c r="A6" s="8" t="s">
        <v>124</v>
      </c>
      <c r="B6" s="8" t="s">
        <v>91</v>
      </c>
      <c r="C6" s="8" t="n">
        <v>1</v>
      </c>
      <c r="D6" s="8" t="n">
        <v>0</v>
      </c>
      <c r="E6" s="8"/>
      <c r="F6" s="8"/>
      <c r="G6" s="8"/>
      <c r="H6" s="8"/>
      <c r="I6" s="8"/>
      <c r="J6" s="8"/>
      <c r="K6" s="8"/>
      <c r="L6" s="8"/>
      <c r="M6" s="8"/>
      <c r="N6" s="8"/>
      <c r="O6" s="8" t="s">
        <v>48</v>
      </c>
      <c r="P6" s="8" t="s">
        <v>119</v>
      </c>
      <c r="Q6" s="8" t="n">
        <v>1</v>
      </c>
      <c r="R6" s="8" t="n">
        <v>0</v>
      </c>
    </row>
    <row r="7" customFormat="false" ht="15" hidden="false" customHeight="false" outlineLevel="0" collapsed="false">
      <c r="A7" s="8" t="s">
        <v>125</v>
      </c>
      <c r="B7" s="8" t="s">
        <v>91</v>
      </c>
      <c r="C7" s="8" t="n">
        <v>0</v>
      </c>
      <c r="D7" s="8" t="n">
        <v>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 t="s">
        <v>121</v>
      </c>
      <c r="Q7" s="8" t="n">
        <v>0</v>
      </c>
      <c r="R7" s="8" t="n">
        <v>0</v>
      </c>
    </row>
    <row r="8" customFormat="false" ht="15" hidden="false" customHeight="false" outlineLevel="0" collapsed="false">
      <c r="A8" s="8" t="s">
        <v>126</v>
      </c>
      <c r="B8" s="8" t="s">
        <v>91</v>
      </c>
      <c r="C8" s="8" t="n">
        <v>1</v>
      </c>
      <c r="D8" s="8" t="n">
        <v>0</v>
      </c>
      <c r="E8" s="8"/>
      <c r="F8" s="8"/>
      <c r="G8" s="8"/>
      <c r="H8" s="8"/>
      <c r="I8" s="8"/>
      <c r="J8" s="8"/>
      <c r="K8" s="8"/>
      <c r="L8" s="8"/>
      <c r="M8" s="8"/>
      <c r="N8" s="8" t="s">
        <v>48</v>
      </c>
      <c r="O8" s="8" t="s">
        <v>48</v>
      </c>
      <c r="P8" s="8" t="s">
        <v>119</v>
      </c>
      <c r="Q8" s="8" t="n">
        <v>1</v>
      </c>
      <c r="R8" s="8" t="n">
        <v>0</v>
      </c>
    </row>
    <row r="9" customFormat="false" ht="15" hidden="false" customHeight="false" outlineLevel="0" collapsed="false">
      <c r="A9" s="8" t="s">
        <v>127</v>
      </c>
      <c r="B9" s="8" t="s">
        <v>91</v>
      </c>
      <c r="C9" s="8" t="n">
        <v>0</v>
      </c>
      <c r="D9" s="8" t="n">
        <v>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 t="s">
        <v>121</v>
      </c>
      <c r="Q9" s="8" t="n">
        <v>0</v>
      </c>
      <c r="R9" s="8" t="n">
        <v>0</v>
      </c>
    </row>
    <row r="10" customFormat="false" ht="15" hidden="false" customHeight="false" outlineLevel="0" collapsed="false">
      <c r="A10" s="8" t="s">
        <v>128</v>
      </c>
      <c r="B10" s="8" t="s">
        <v>91</v>
      </c>
      <c r="C10" s="8" t="n">
        <v>1</v>
      </c>
      <c r="D10" s="8" t="n">
        <v>6948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 t="s">
        <v>48</v>
      </c>
      <c r="P10" s="8" t="s">
        <v>119</v>
      </c>
      <c r="Q10" s="8" t="n">
        <v>1</v>
      </c>
      <c r="R10" s="8" t="n">
        <v>0</v>
      </c>
    </row>
    <row r="11" customFormat="false" ht="15" hidden="false" customHeight="false" outlineLevel="0" collapsed="false">
      <c r="A11" s="8" t="s">
        <v>129</v>
      </c>
      <c r="B11" s="8" t="s">
        <v>91</v>
      </c>
      <c r="C11" s="8" t="n">
        <v>0</v>
      </c>
      <c r="D11" s="8" t="n">
        <v>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 t="s">
        <v>121</v>
      </c>
      <c r="Q11" s="8" t="n">
        <v>0</v>
      </c>
      <c r="R11" s="8" t="n">
        <v>0</v>
      </c>
    </row>
    <row r="12" customFormat="false" ht="15" hidden="false" customHeight="false" outlineLevel="0" collapsed="false">
      <c r="A12" s="8" t="s">
        <v>130</v>
      </c>
      <c r="B12" s="8" t="s">
        <v>91</v>
      </c>
      <c r="C12" s="8" t="n">
        <v>0</v>
      </c>
      <c r="D12" s="8" t="n">
        <v>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 t="s">
        <v>121</v>
      </c>
      <c r="Q12" s="8" t="n">
        <v>0</v>
      </c>
      <c r="R12" s="8" t="n">
        <v>0</v>
      </c>
    </row>
    <row r="13" customFormat="false" ht="15" hidden="false" customHeight="false" outlineLevel="0" collapsed="false">
      <c r="A13" s="8" t="s">
        <v>131</v>
      </c>
      <c r="B13" s="8" t="s">
        <v>91</v>
      </c>
      <c r="C13" s="8" t="n">
        <v>1</v>
      </c>
      <c r="D13" s="8" t="n">
        <v>5266</v>
      </c>
      <c r="E13" s="8"/>
      <c r="F13" s="8" t="s">
        <v>38</v>
      </c>
      <c r="G13" s="8"/>
      <c r="H13" s="8"/>
      <c r="I13" s="8"/>
      <c r="J13" s="8"/>
      <c r="K13" s="8"/>
      <c r="L13" s="8"/>
      <c r="M13" s="8"/>
      <c r="N13" s="8"/>
      <c r="O13" s="8"/>
      <c r="P13" s="8" t="s">
        <v>119</v>
      </c>
      <c r="Q13" s="8" t="n">
        <v>0</v>
      </c>
      <c r="R13" s="8" t="n">
        <v>1</v>
      </c>
    </row>
    <row r="14" customFormat="false" ht="15" hidden="false" customHeight="false" outlineLevel="0" collapsed="false">
      <c r="A14" s="8" t="s">
        <v>132</v>
      </c>
      <c r="B14" s="8" t="s">
        <v>91</v>
      </c>
      <c r="C14" s="8" t="n">
        <v>0</v>
      </c>
      <c r="D14" s="8" t="n">
        <v>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 t="s">
        <v>121</v>
      </c>
      <c r="Q14" s="8" t="n">
        <v>0</v>
      </c>
      <c r="R14" s="8" t="n">
        <v>0</v>
      </c>
    </row>
    <row r="15" customFormat="false" ht="15" hidden="false" customHeight="false" outlineLevel="0" collapsed="false">
      <c r="A15" s="8" t="s">
        <v>133</v>
      </c>
      <c r="B15" s="8" t="s">
        <v>91</v>
      </c>
      <c r="C15" s="8" t="n">
        <v>0</v>
      </c>
      <c r="D15" s="8" t="n">
        <v>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 t="s">
        <v>121</v>
      </c>
      <c r="Q15" s="8" t="n">
        <v>0</v>
      </c>
      <c r="R15" s="8" t="n">
        <v>0</v>
      </c>
    </row>
    <row r="16" customFormat="false" ht="15" hidden="false" customHeight="false" outlineLevel="0" collapsed="false">
      <c r="A16" s="8" t="s">
        <v>134</v>
      </c>
      <c r="B16" s="8" t="s">
        <v>91</v>
      </c>
      <c r="C16" s="8" t="n">
        <v>0</v>
      </c>
      <c r="D16" s="8" t="n">
        <v>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 t="s">
        <v>121</v>
      </c>
      <c r="Q16" s="8" t="n">
        <v>0</v>
      </c>
      <c r="R16" s="8" t="n">
        <v>0</v>
      </c>
    </row>
    <row r="17" customFormat="false" ht="15" hidden="false" customHeight="false" outlineLevel="0" collapsed="false">
      <c r="A17" s="8" t="s">
        <v>135</v>
      </c>
      <c r="B17" s="8" t="s">
        <v>91</v>
      </c>
      <c r="C17" s="8" t="n">
        <v>0</v>
      </c>
      <c r="D17" s="8" t="n">
        <v>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 t="s">
        <v>121</v>
      </c>
      <c r="Q17" s="8" t="n">
        <v>0</v>
      </c>
      <c r="R17" s="8" t="n">
        <v>0</v>
      </c>
    </row>
    <row r="18" customFormat="false" ht="15" hidden="false" customHeight="false" outlineLevel="0" collapsed="false">
      <c r="A18" s="8" t="s">
        <v>136</v>
      </c>
      <c r="B18" s="8" t="s">
        <v>91</v>
      </c>
      <c r="C18" s="8" t="n">
        <v>0</v>
      </c>
      <c r="D18" s="8" t="n">
        <v>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 t="s">
        <v>121</v>
      </c>
      <c r="Q18" s="8" t="n">
        <v>0</v>
      </c>
      <c r="R18" s="8" t="n">
        <v>0</v>
      </c>
    </row>
    <row r="19" customFormat="false" ht="15" hidden="false" customHeight="false" outlineLevel="0" collapsed="false">
      <c r="A19" s="8" t="s">
        <v>137</v>
      </c>
      <c r="B19" s="8" t="s">
        <v>91</v>
      </c>
      <c r="C19" s="8" t="n">
        <v>0</v>
      </c>
      <c r="D19" s="8" t="n">
        <v>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 t="s">
        <v>121</v>
      </c>
      <c r="Q19" s="8" t="n">
        <v>0</v>
      </c>
      <c r="R19" s="8" t="n">
        <v>0</v>
      </c>
    </row>
    <row r="20" customFormat="false" ht="15" hidden="false" customHeight="false" outlineLevel="0" collapsed="false">
      <c r="A20" s="8" t="s">
        <v>138</v>
      </c>
      <c r="B20" s="8" t="s">
        <v>91</v>
      </c>
      <c r="C20" s="8" t="n">
        <v>0</v>
      </c>
      <c r="D20" s="8" t="n">
        <v>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 t="s">
        <v>121</v>
      </c>
      <c r="Q20" s="8" t="n">
        <v>0</v>
      </c>
      <c r="R20" s="8" t="n">
        <v>0</v>
      </c>
    </row>
    <row r="21" customFormat="false" ht="15" hidden="false" customHeight="false" outlineLevel="0" collapsed="false">
      <c r="A21" s="8" t="s">
        <v>139</v>
      </c>
      <c r="B21" s="8" t="s">
        <v>91</v>
      </c>
      <c r="C21" s="8" t="n">
        <v>1</v>
      </c>
      <c r="D21" s="8" t="n">
        <v>12166</v>
      </c>
      <c r="E21" s="8"/>
      <c r="F21" s="8" t="s">
        <v>38</v>
      </c>
      <c r="G21" s="8"/>
      <c r="H21" s="8"/>
      <c r="I21" s="8"/>
      <c r="J21" s="8"/>
      <c r="K21" s="8"/>
      <c r="L21" s="8"/>
      <c r="M21" s="8"/>
      <c r="N21" s="8"/>
      <c r="O21" s="8"/>
      <c r="P21" s="8" t="s">
        <v>119</v>
      </c>
      <c r="Q21" s="8" t="n">
        <v>0</v>
      </c>
      <c r="R21" s="8" t="n">
        <v>1</v>
      </c>
    </row>
    <row r="22" customFormat="false" ht="15" hidden="false" customHeight="false" outlineLevel="0" collapsed="false">
      <c r="A22" s="8" t="s">
        <v>140</v>
      </c>
      <c r="B22" s="8" t="s">
        <v>91</v>
      </c>
      <c r="C22" s="8" t="n">
        <v>1</v>
      </c>
      <c r="D22" s="8" t="n">
        <v>0</v>
      </c>
      <c r="E22" s="8"/>
      <c r="F22" s="8"/>
      <c r="G22" s="8"/>
      <c r="H22" s="8"/>
      <c r="I22" s="8"/>
      <c r="J22" s="8"/>
      <c r="K22" s="8"/>
      <c r="L22" s="8"/>
      <c r="M22" s="8"/>
      <c r="N22" s="8" t="s">
        <v>48</v>
      </c>
      <c r="O22" s="8" t="s">
        <v>48</v>
      </c>
      <c r="P22" s="8" t="s">
        <v>119</v>
      </c>
      <c r="Q22" s="8" t="n">
        <v>1</v>
      </c>
      <c r="R22" s="8" t="n">
        <v>0</v>
      </c>
    </row>
    <row r="23" customFormat="false" ht="15" hidden="false" customHeight="false" outlineLevel="0" collapsed="false">
      <c r="A23" s="8" t="s">
        <v>141</v>
      </c>
      <c r="B23" s="8" t="s">
        <v>91</v>
      </c>
      <c r="C23" s="8" t="n">
        <v>1</v>
      </c>
      <c r="D23" s="8" t="n">
        <v>12272</v>
      </c>
      <c r="E23" s="8"/>
      <c r="F23" s="8" t="s">
        <v>38</v>
      </c>
      <c r="G23" s="8"/>
      <c r="H23" s="8"/>
      <c r="I23" s="8"/>
      <c r="J23" s="8"/>
      <c r="K23" s="8"/>
      <c r="L23" s="8"/>
      <c r="M23" s="8"/>
      <c r="N23" s="8"/>
      <c r="O23" s="8"/>
      <c r="P23" s="8" t="s">
        <v>119</v>
      </c>
      <c r="Q23" s="8" t="n">
        <v>0</v>
      </c>
      <c r="R23" s="8" t="n">
        <v>1</v>
      </c>
    </row>
    <row r="24" customFormat="false" ht="15" hidden="false" customHeight="false" outlineLevel="0" collapsed="false">
      <c r="A24" s="8" t="s">
        <v>142</v>
      </c>
      <c r="B24" s="8" t="s">
        <v>91</v>
      </c>
      <c r="C24" s="8" t="n">
        <v>0</v>
      </c>
      <c r="D24" s="8" t="n">
        <v>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 t="s">
        <v>121</v>
      </c>
      <c r="Q24" s="8" t="n">
        <v>0</v>
      </c>
      <c r="R24" s="8" t="n">
        <v>0</v>
      </c>
    </row>
    <row r="25" customFormat="false" ht="15" hidden="false" customHeight="false" outlineLevel="0" collapsed="false">
      <c r="A25" s="8" t="s">
        <v>143</v>
      </c>
      <c r="B25" s="8" t="s">
        <v>91</v>
      </c>
      <c r="C25" s="8" t="n">
        <v>1</v>
      </c>
      <c r="D25" s="8" t="n">
        <v>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 t="s">
        <v>48</v>
      </c>
      <c r="P25" s="8" t="s">
        <v>119</v>
      </c>
      <c r="Q25" s="8" t="n">
        <v>1</v>
      </c>
      <c r="R25" s="8" t="n">
        <v>0</v>
      </c>
    </row>
    <row r="26" customFormat="false" ht="15" hidden="false" customHeight="false" outlineLevel="0" collapsed="false">
      <c r="A26" s="8" t="s">
        <v>144</v>
      </c>
      <c r="B26" s="8" t="s">
        <v>91</v>
      </c>
      <c r="C26" s="8" t="n">
        <v>0</v>
      </c>
      <c r="D26" s="8" t="n">
        <v>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 t="s">
        <v>121</v>
      </c>
      <c r="Q26" s="8" t="n">
        <v>0</v>
      </c>
      <c r="R26" s="8" t="n">
        <v>0</v>
      </c>
    </row>
    <row r="27" customFormat="false" ht="15" hidden="false" customHeight="false" outlineLevel="0" collapsed="false">
      <c r="A27" s="8" t="s">
        <v>145</v>
      </c>
      <c r="B27" s="8" t="s">
        <v>91</v>
      </c>
      <c r="C27" s="8" t="n">
        <v>1</v>
      </c>
      <c r="D27" s="8" t="n">
        <v>0</v>
      </c>
      <c r="E27" s="8"/>
      <c r="F27" s="8"/>
      <c r="G27" s="8"/>
      <c r="H27" s="8"/>
      <c r="I27" s="8"/>
      <c r="J27" s="8"/>
      <c r="K27" s="8"/>
      <c r="L27" s="8"/>
      <c r="M27" s="8"/>
      <c r="N27" s="8" t="s">
        <v>48</v>
      </c>
      <c r="O27" s="8" t="s">
        <v>48</v>
      </c>
      <c r="P27" s="8" t="s">
        <v>119</v>
      </c>
      <c r="Q27" s="8" t="n">
        <v>1</v>
      </c>
      <c r="R27" s="8" t="n">
        <v>0</v>
      </c>
    </row>
    <row r="28" customFormat="false" ht="15" hidden="false" customHeight="false" outlineLevel="0" collapsed="false">
      <c r="A28" s="8" t="s">
        <v>146</v>
      </c>
      <c r="B28" s="8" t="s">
        <v>91</v>
      </c>
      <c r="C28" s="8" t="n">
        <v>0</v>
      </c>
      <c r="D28" s="8" t="n">
        <v>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 t="s">
        <v>121</v>
      </c>
      <c r="Q28" s="8" t="n">
        <v>0</v>
      </c>
      <c r="R28" s="8" t="n">
        <v>0</v>
      </c>
    </row>
    <row r="29" customFormat="false" ht="15" hidden="false" customHeight="false" outlineLevel="0" collapsed="false">
      <c r="A29" s="8" t="s">
        <v>147</v>
      </c>
      <c r="B29" s="8" t="s">
        <v>91</v>
      </c>
      <c r="C29" s="8" t="n">
        <v>0</v>
      </c>
      <c r="D29" s="8" t="n">
        <v>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 t="s">
        <v>121</v>
      </c>
      <c r="Q29" s="8" t="n">
        <v>0</v>
      </c>
      <c r="R29" s="8" t="n">
        <v>0</v>
      </c>
    </row>
    <row r="30" customFormat="false" ht="15" hidden="false" customHeight="false" outlineLevel="0" collapsed="false">
      <c r="A30" s="8" t="s">
        <v>148</v>
      </c>
      <c r="B30" s="8" t="s">
        <v>91</v>
      </c>
      <c r="C30" s="8" t="n">
        <v>0</v>
      </c>
      <c r="D30" s="8" t="n">
        <v>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 t="s">
        <v>121</v>
      </c>
      <c r="Q30" s="8" t="n">
        <v>0</v>
      </c>
      <c r="R30" s="8" t="n">
        <v>0</v>
      </c>
    </row>
    <row r="31" customFormat="false" ht="15" hidden="false" customHeight="false" outlineLevel="0" collapsed="false">
      <c r="A31" s="8" t="s">
        <v>149</v>
      </c>
      <c r="B31" s="8" t="s">
        <v>91</v>
      </c>
      <c r="C31" s="8" t="n">
        <v>1</v>
      </c>
      <c r="D31" s="8" t="n">
        <v>0</v>
      </c>
      <c r="E31" s="8"/>
      <c r="F31" s="8"/>
      <c r="G31" s="8"/>
      <c r="H31" s="8"/>
      <c r="I31" s="8"/>
      <c r="J31" s="8"/>
      <c r="K31" s="8"/>
      <c r="L31" s="8"/>
      <c r="M31" s="8"/>
      <c r="N31" s="8" t="s">
        <v>48</v>
      </c>
      <c r="O31" s="8" t="s">
        <v>48</v>
      </c>
      <c r="P31" s="8" t="s">
        <v>119</v>
      </c>
      <c r="Q31" s="8" t="n">
        <v>1</v>
      </c>
      <c r="R31" s="8" t="n">
        <v>0</v>
      </c>
    </row>
    <row r="32" customFormat="false" ht="15" hidden="false" customHeight="false" outlineLevel="0" collapsed="false">
      <c r="A32" s="8" t="s">
        <v>150</v>
      </c>
      <c r="B32" s="8" t="s">
        <v>91</v>
      </c>
      <c r="C32" s="8" t="n">
        <v>1</v>
      </c>
      <c r="D32" s="8" t="n">
        <v>0</v>
      </c>
      <c r="E32" s="8"/>
      <c r="F32" s="8"/>
      <c r="G32" s="8"/>
      <c r="H32" s="8"/>
      <c r="I32" s="8"/>
      <c r="J32" s="8"/>
      <c r="K32" s="8"/>
      <c r="L32" s="8"/>
      <c r="M32" s="8"/>
      <c r="N32" s="8" t="s">
        <v>48</v>
      </c>
      <c r="O32" s="8" t="s">
        <v>48</v>
      </c>
      <c r="P32" s="8" t="s">
        <v>119</v>
      </c>
      <c r="Q32" s="8" t="n">
        <v>1</v>
      </c>
      <c r="R32" s="8" t="n">
        <v>0</v>
      </c>
    </row>
    <row r="33" customFormat="false" ht="15" hidden="false" customHeight="false" outlineLevel="0" collapsed="false">
      <c r="A33" s="8" t="s">
        <v>151</v>
      </c>
      <c r="B33" s="8" t="s">
        <v>91</v>
      </c>
      <c r="C33" s="8" t="n">
        <v>0</v>
      </c>
      <c r="D33" s="8" t="n">
        <v>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 t="s">
        <v>121</v>
      </c>
      <c r="Q33" s="8" t="n">
        <v>0</v>
      </c>
      <c r="R33" s="8" t="n">
        <v>0</v>
      </c>
    </row>
    <row r="34" customFormat="false" ht="15" hidden="false" customHeight="false" outlineLevel="0" collapsed="false">
      <c r="A34" s="8" t="s">
        <v>152</v>
      </c>
      <c r="B34" s="8" t="s">
        <v>91</v>
      </c>
      <c r="C34" s="8" t="n">
        <v>0</v>
      </c>
      <c r="D34" s="8" t="n">
        <v>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 t="s">
        <v>121</v>
      </c>
      <c r="Q34" s="8" t="n">
        <v>0</v>
      </c>
      <c r="R34" s="8" t="n">
        <v>0</v>
      </c>
    </row>
    <row r="35" customFormat="false" ht="15" hidden="false" customHeight="false" outlineLevel="0" collapsed="false">
      <c r="A35" s="8" t="s">
        <v>153</v>
      </c>
      <c r="B35" s="8" t="s">
        <v>91</v>
      </c>
      <c r="C35" s="8" t="n">
        <v>0</v>
      </c>
      <c r="D35" s="8" t="n">
        <v>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 t="s">
        <v>121</v>
      </c>
      <c r="Q35" s="8" t="n">
        <v>0</v>
      </c>
      <c r="R35" s="8" t="n">
        <v>0</v>
      </c>
    </row>
    <row r="36" customFormat="false" ht="15" hidden="false" customHeight="false" outlineLevel="0" collapsed="false">
      <c r="A36" s="8" t="s">
        <v>154</v>
      </c>
      <c r="B36" s="8" t="s">
        <v>91</v>
      </c>
      <c r="C36" s="8" t="n">
        <v>0</v>
      </c>
      <c r="D36" s="8" t="n">
        <v>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 t="s">
        <v>121</v>
      </c>
      <c r="Q36" s="8" t="n">
        <v>0</v>
      </c>
      <c r="R36" s="8" t="n">
        <v>0</v>
      </c>
    </row>
    <row r="37" customFormat="false" ht="15" hidden="false" customHeight="false" outlineLevel="0" collapsed="false">
      <c r="A37" s="8" t="s">
        <v>155</v>
      </c>
      <c r="B37" s="8" t="s">
        <v>91</v>
      </c>
      <c r="C37" s="8" t="n">
        <v>0</v>
      </c>
      <c r="D37" s="8" t="n">
        <v>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 t="s">
        <v>121</v>
      </c>
      <c r="Q37" s="8" t="n">
        <v>0</v>
      </c>
      <c r="R37" s="8" t="n">
        <v>0</v>
      </c>
    </row>
    <row r="38" customFormat="false" ht="15" hidden="false" customHeight="false" outlineLevel="0" collapsed="false">
      <c r="A38" s="8" t="s">
        <v>156</v>
      </c>
      <c r="B38" s="8" t="s">
        <v>91</v>
      </c>
      <c r="C38" s="8" t="n">
        <v>0</v>
      </c>
      <c r="D38" s="8" t="n">
        <v>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 t="s">
        <v>121</v>
      </c>
      <c r="Q38" s="8" t="n">
        <v>0</v>
      </c>
      <c r="R38" s="8" t="n">
        <v>0</v>
      </c>
    </row>
    <row r="39" customFormat="false" ht="15" hidden="false" customHeight="false" outlineLevel="0" collapsed="false">
      <c r="A39" s="8" t="s">
        <v>157</v>
      </c>
      <c r="B39" s="8" t="s">
        <v>91</v>
      </c>
      <c r="C39" s="8" t="n">
        <v>0</v>
      </c>
      <c r="D39" s="8" t="n">
        <v>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 t="s">
        <v>121</v>
      </c>
      <c r="Q39" s="8" t="n">
        <v>0</v>
      </c>
      <c r="R39" s="8" t="n">
        <v>0</v>
      </c>
    </row>
    <row r="40" customFormat="false" ht="15" hidden="false" customHeight="false" outlineLevel="0" collapsed="false">
      <c r="A40" s="8" t="s">
        <v>158</v>
      </c>
      <c r="B40" s="8" t="s">
        <v>91</v>
      </c>
      <c r="C40" s="8" t="n">
        <v>0</v>
      </c>
      <c r="D40" s="8" t="n">
        <v>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 t="s">
        <v>121</v>
      </c>
      <c r="Q40" s="8" t="n">
        <v>0</v>
      </c>
      <c r="R40" s="8" t="n">
        <v>0</v>
      </c>
    </row>
    <row r="41" customFormat="false" ht="15" hidden="false" customHeight="false" outlineLevel="0" collapsed="false">
      <c r="A41" s="8" t="s">
        <v>159</v>
      </c>
      <c r="B41" s="8" t="s">
        <v>91</v>
      </c>
      <c r="C41" s="8" t="n">
        <v>1</v>
      </c>
      <c r="D41" s="8" t="n">
        <v>5030</v>
      </c>
      <c r="E41" s="8"/>
      <c r="F41" s="8" t="s">
        <v>38</v>
      </c>
      <c r="G41" s="8"/>
      <c r="H41" s="8"/>
      <c r="I41" s="8"/>
      <c r="J41" s="8"/>
      <c r="K41" s="8"/>
      <c r="L41" s="8"/>
      <c r="M41" s="8"/>
      <c r="N41" s="8"/>
      <c r="O41" s="8" t="s">
        <v>48</v>
      </c>
      <c r="P41" s="8" t="s">
        <v>119</v>
      </c>
      <c r="Q41" s="8" t="n">
        <v>1</v>
      </c>
      <c r="R41" s="8" t="n">
        <v>1</v>
      </c>
    </row>
    <row r="42" customFormat="false" ht="15" hidden="false" customHeight="false" outlineLevel="0" collapsed="false">
      <c r="A42" s="8" t="s">
        <v>160</v>
      </c>
      <c r="B42" s="8" t="s">
        <v>91</v>
      </c>
      <c r="C42" s="8" t="n">
        <v>0</v>
      </c>
      <c r="D42" s="8" t="n">
        <v>0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 t="s">
        <v>121</v>
      </c>
      <c r="Q42" s="8" t="n">
        <v>0</v>
      </c>
      <c r="R42" s="8" t="n">
        <v>0</v>
      </c>
    </row>
    <row r="43" customFormat="false" ht="15" hidden="false" customHeight="false" outlineLevel="0" collapsed="false">
      <c r="A43" s="8" t="s">
        <v>161</v>
      </c>
      <c r="B43" s="8" t="s">
        <v>91</v>
      </c>
      <c r="C43" s="8" t="n">
        <v>0</v>
      </c>
      <c r="D43" s="8" t="n">
        <v>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 t="s">
        <v>121</v>
      </c>
      <c r="Q43" s="8" t="n">
        <v>0</v>
      </c>
      <c r="R43" s="8" t="n">
        <v>0</v>
      </c>
    </row>
    <row r="44" customFormat="false" ht="15" hidden="false" customHeight="false" outlineLevel="0" collapsed="false">
      <c r="A44" s="8" t="s">
        <v>162</v>
      </c>
      <c r="B44" s="8" t="s">
        <v>91</v>
      </c>
      <c r="C44" s="8" t="n">
        <v>1</v>
      </c>
      <c r="D44" s="8" t="n">
        <v>0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 t="s">
        <v>48</v>
      </c>
      <c r="P44" s="8" t="s">
        <v>119</v>
      </c>
      <c r="Q44" s="8" t="n">
        <v>1</v>
      </c>
      <c r="R44" s="8" t="n">
        <v>0</v>
      </c>
    </row>
    <row r="45" customFormat="false" ht="15" hidden="false" customHeight="false" outlineLevel="0" collapsed="false">
      <c r="A45" s="8" t="s">
        <v>163</v>
      </c>
      <c r="B45" s="8" t="s">
        <v>91</v>
      </c>
      <c r="C45" s="8" t="n">
        <v>0</v>
      </c>
      <c r="D45" s="8" t="n">
        <v>0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 t="s">
        <v>121</v>
      </c>
      <c r="Q45" s="8" t="n">
        <v>0</v>
      </c>
      <c r="R45" s="8" t="n">
        <v>0</v>
      </c>
    </row>
    <row r="46" customFormat="false" ht="15" hidden="false" customHeight="false" outlineLevel="0" collapsed="false">
      <c r="A46" s="8" t="s">
        <v>164</v>
      </c>
      <c r="B46" s="8" t="s">
        <v>91</v>
      </c>
      <c r="C46" s="8" t="n">
        <v>0</v>
      </c>
      <c r="D46" s="8" t="n">
        <v>0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 t="s">
        <v>121</v>
      </c>
      <c r="Q46" s="8" t="n">
        <v>0</v>
      </c>
      <c r="R46" s="8" t="n">
        <v>0</v>
      </c>
    </row>
    <row r="47" customFormat="false" ht="15" hidden="false" customHeight="false" outlineLevel="0" collapsed="false">
      <c r="A47" s="8" t="s">
        <v>165</v>
      </c>
      <c r="B47" s="8" t="s">
        <v>91</v>
      </c>
      <c r="C47" s="8" t="n">
        <v>0</v>
      </c>
      <c r="D47" s="8" t="n">
        <v>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 t="s">
        <v>121</v>
      </c>
      <c r="Q47" s="8" t="n">
        <v>0</v>
      </c>
      <c r="R47" s="8" t="n">
        <v>0</v>
      </c>
    </row>
    <row r="48" customFormat="false" ht="15" hidden="false" customHeight="false" outlineLevel="0" collapsed="false">
      <c r="A48" s="8" t="s">
        <v>166</v>
      </c>
      <c r="B48" s="8" t="s">
        <v>91</v>
      </c>
      <c r="C48" s="8" t="n">
        <v>0</v>
      </c>
      <c r="D48" s="8" t="n">
        <v>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 t="s">
        <v>121</v>
      </c>
      <c r="Q48" s="8" t="n">
        <v>0</v>
      </c>
      <c r="R48" s="8" t="n">
        <v>0</v>
      </c>
    </row>
    <row r="49" customFormat="false" ht="15" hidden="false" customHeight="false" outlineLevel="0" collapsed="false">
      <c r="A49" s="8" t="s">
        <v>167</v>
      </c>
      <c r="B49" s="8" t="s">
        <v>91</v>
      </c>
      <c r="C49" s="8" t="n">
        <v>0</v>
      </c>
      <c r="D49" s="8" t="n">
        <v>0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 t="s">
        <v>121</v>
      </c>
      <c r="Q49" s="8" t="n">
        <v>0</v>
      </c>
      <c r="R49" s="8" t="n">
        <v>0</v>
      </c>
    </row>
    <row r="50" customFormat="false" ht="15" hidden="false" customHeight="false" outlineLevel="0" collapsed="false">
      <c r="A50" s="8" t="s">
        <v>168</v>
      </c>
      <c r="B50" s="8" t="s">
        <v>91</v>
      </c>
      <c r="C50" s="8" t="n">
        <v>0</v>
      </c>
      <c r="D50" s="8" t="n">
        <v>0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 t="s">
        <v>121</v>
      </c>
      <c r="Q50" s="8" t="n">
        <v>0</v>
      </c>
      <c r="R50" s="8" t="n">
        <v>0</v>
      </c>
    </row>
    <row r="51" customFormat="false" ht="15" hidden="false" customHeight="false" outlineLevel="0" collapsed="false">
      <c r="A51" s="8" t="s">
        <v>169</v>
      </c>
      <c r="B51" s="8" t="s">
        <v>91</v>
      </c>
      <c r="C51" s="8" t="n">
        <v>1</v>
      </c>
      <c r="D51" s="8" t="n">
        <v>0</v>
      </c>
      <c r="E51" s="8"/>
      <c r="F51" s="8"/>
      <c r="G51" s="8"/>
      <c r="H51" s="8"/>
      <c r="I51" s="8"/>
      <c r="J51" s="8"/>
      <c r="K51" s="8"/>
      <c r="L51" s="8"/>
      <c r="M51" s="8"/>
      <c r="N51" s="8" t="s">
        <v>48</v>
      </c>
      <c r="O51" s="8" t="s">
        <v>48</v>
      </c>
      <c r="P51" s="8" t="s">
        <v>119</v>
      </c>
      <c r="Q51" s="8" t="n">
        <v>1</v>
      </c>
      <c r="R51" s="8" t="n">
        <v>0</v>
      </c>
    </row>
    <row r="52" customFormat="false" ht="15" hidden="false" customHeight="false" outlineLevel="0" collapsed="false">
      <c r="A52" s="8" t="s">
        <v>170</v>
      </c>
      <c r="B52" s="8" t="s">
        <v>91</v>
      </c>
      <c r="C52" s="8" t="n">
        <v>0</v>
      </c>
      <c r="D52" s="8" t="n">
        <v>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 t="s">
        <v>121</v>
      </c>
      <c r="Q52" s="8" t="n">
        <v>0</v>
      </c>
      <c r="R52" s="8" t="n">
        <v>0</v>
      </c>
    </row>
    <row r="53" customFormat="false" ht="15" hidden="false" customHeight="false" outlineLevel="0" collapsed="false">
      <c r="A53" s="8" t="s">
        <v>171</v>
      </c>
      <c r="B53" s="8" t="s">
        <v>91</v>
      </c>
      <c r="C53" s="8" t="n">
        <v>0</v>
      </c>
      <c r="D53" s="8" t="n">
        <v>0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 t="s">
        <v>121</v>
      </c>
      <c r="Q53" s="8" t="n">
        <v>0</v>
      </c>
      <c r="R53" s="8" t="n">
        <v>0</v>
      </c>
    </row>
    <row r="54" customFormat="false" ht="15" hidden="false" customHeight="false" outlineLevel="0" collapsed="false">
      <c r="A54" s="8" t="s">
        <v>172</v>
      </c>
      <c r="B54" s="8" t="s">
        <v>91</v>
      </c>
      <c r="C54" s="8" t="n">
        <v>0</v>
      </c>
      <c r="D54" s="8" t="n">
        <v>0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 t="s">
        <v>121</v>
      </c>
      <c r="Q54" s="8" t="n">
        <v>0</v>
      </c>
      <c r="R54" s="8" t="n">
        <v>0</v>
      </c>
    </row>
    <row r="55" customFormat="false" ht="15" hidden="false" customHeight="false" outlineLevel="0" collapsed="false">
      <c r="A55" s="8" t="s">
        <v>173</v>
      </c>
      <c r="B55" s="8" t="s">
        <v>91</v>
      </c>
      <c r="C55" s="8" t="n">
        <v>0</v>
      </c>
      <c r="D55" s="8" t="n">
        <v>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 t="s">
        <v>121</v>
      </c>
      <c r="Q55" s="8" t="n">
        <v>0</v>
      </c>
      <c r="R55" s="8" t="n">
        <v>0</v>
      </c>
    </row>
    <row r="56" customFormat="false" ht="15" hidden="false" customHeight="false" outlineLevel="0" collapsed="false">
      <c r="A56" s="8" t="s">
        <v>174</v>
      </c>
      <c r="B56" s="8" t="s">
        <v>91</v>
      </c>
      <c r="C56" s="8" t="n">
        <v>0</v>
      </c>
      <c r="D56" s="8" t="n">
        <v>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 t="s">
        <v>121</v>
      </c>
      <c r="Q56" s="8" t="n">
        <v>0</v>
      </c>
      <c r="R56" s="8" t="n">
        <v>0</v>
      </c>
    </row>
    <row r="57" customFormat="false" ht="15" hidden="false" customHeight="false" outlineLevel="0" collapsed="false">
      <c r="A57" s="8" t="s">
        <v>175</v>
      </c>
      <c r="B57" s="8" t="s">
        <v>91</v>
      </c>
      <c r="C57" s="8" t="n">
        <v>0</v>
      </c>
      <c r="D57" s="8" t="n">
        <v>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 t="s">
        <v>121</v>
      </c>
      <c r="Q57" s="8" t="n">
        <v>0</v>
      </c>
      <c r="R57" s="8" t="n">
        <v>0</v>
      </c>
    </row>
    <row r="58" customFormat="false" ht="15" hidden="false" customHeight="false" outlineLevel="0" collapsed="false">
      <c r="A58" s="8" t="s">
        <v>176</v>
      </c>
      <c r="B58" s="8" t="s">
        <v>91</v>
      </c>
      <c r="C58" s="8" t="n">
        <v>0</v>
      </c>
      <c r="D58" s="8" t="n">
        <v>0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 t="s">
        <v>121</v>
      </c>
      <c r="Q58" s="8" t="n">
        <v>0</v>
      </c>
      <c r="R58" s="8" t="n">
        <v>0</v>
      </c>
    </row>
    <row r="59" customFormat="false" ht="15" hidden="false" customHeight="false" outlineLevel="0" collapsed="false">
      <c r="A59" s="8" t="s">
        <v>177</v>
      </c>
      <c r="B59" s="8" t="s">
        <v>91</v>
      </c>
      <c r="C59" s="8" t="n">
        <v>0</v>
      </c>
      <c r="D59" s="8" t="n">
        <v>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 t="s">
        <v>121</v>
      </c>
      <c r="Q59" s="8" t="n">
        <v>0</v>
      </c>
      <c r="R59" s="8" t="n">
        <v>0</v>
      </c>
    </row>
    <row r="60" customFormat="false" ht="15" hidden="false" customHeight="false" outlineLevel="0" collapsed="false">
      <c r="A60" s="8" t="s">
        <v>178</v>
      </c>
      <c r="B60" s="8" t="s">
        <v>91</v>
      </c>
      <c r="C60" s="8" t="n">
        <v>0</v>
      </c>
      <c r="D60" s="8" t="n">
        <v>0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 t="s">
        <v>121</v>
      </c>
      <c r="Q60" s="8" t="n">
        <v>0</v>
      </c>
      <c r="R60" s="8" t="n">
        <v>0</v>
      </c>
    </row>
    <row r="61" customFormat="false" ht="15" hidden="false" customHeight="false" outlineLevel="0" collapsed="false">
      <c r="A61" s="8" t="s">
        <v>179</v>
      </c>
      <c r="B61" s="8" t="s">
        <v>91</v>
      </c>
      <c r="C61" s="8" t="n">
        <v>0</v>
      </c>
      <c r="D61" s="8" t="n">
        <v>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 t="s">
        <v>121</v>
      </c>
      <c r="Q61" s="8" t="n">
        <v>0</v>
      </c>
      <c r="R61" s="8" t="n">
        <v>0</v>
      </c>
    </row>
    <row r="62" customFormat="false" ht="15" hidden="false" customHeight="false" outlineLevel="0" collapsed="false">
      <c r="A62" s="8" t="s">
        <v>180</v>
      </c>
      <c r="B62" s="8" t="s">
        <v>91</v>
      </c>
      <c r="C62" s="8" t="n">
        <v>0</v>
      </c>
      <c r="D62" s="8" t="n">
        <v>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 t="s">
        <v>121</v>
      </c>
      <c r="Q62" s="8" t="n">
        <v>0</v>
      </c>
      <c r="R62" s="8" t="n">
        <v>0</v>
      </c>
    </row>
    <row r="63" customFormat="false" ht="15" hidden="false" customHeight="false" outlineLevel="0" collapsed="false">
      <c r="A63" s="8" t="s">
        <v>181</v>
      </c>
      <c r="B63" s="8" t="s">
        <v>91</v>
      </c>
      <c r="C63" s="8" t="n">
        <v>1</v>
      </c>
      <c r="D63" s="8" t="n">
        <v>7700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 t="s">
        <v>48</v>
      </c>
      <c r="P63" s="8" t="s">
        <v>119</v>
      </c>
      <c r="Q63" s="8" t="n">
        <v>1</v>
      </c>
      <c r="R63" s="8" t="n">
        <v>0</v>
      </c>
    </row>
    <row r="64" customFormat="false" ht="15" hidden="false" customHeight="false" outlineLevel="0" collapsed="false">
      <c r="A64" s="8" t="s">
        <v>182</v>
      </c>
      <c r="B64" s="8" t="s">
        <v>91</v>
      </c>
      <c r="C64" s="8" t="n">
        <v>0</v>
      </c>
      <c r="D64" s="8" t="n">
        <v>0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 t="s">
        <v>121</v>
      </c>
      <c r="Q64" s="8" t="n">
        <v>0</v>
      </c>
      <c r="R64" s="8" t="n">
        <v>0</v>
      </c>
    </row>
    <row r="65" customFormat="false" ht="15" hidden="false" customHeight="false" outlineLevel="0" collapsed="false">
      <c r="A65" s="8" t="s">
        <v>183</v>
      </c>
      <c r="B65" s="8" t="s">
        <v>91</v>
      </c>
      <c r="C65" s="8" t="n">
        <v>1</v>
      </c>
      <c r="D65" s="8" t="n">
        <v>0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 t="s">
        <v>48</v>
      </c>
      <c r="P65" s="8" t="s">
        <v>119</v>
      </c>
      <c r="Q65" s="8" t="n">
        <v>1</v>
      </c>
      <c r="R65" s="8" t="n">
        <v>0</v>
      </c>
    </row>
    <row r="66" customFormat="false" ht="15" hidden="false" customHeight="false" outlineLevel="0" collapsed="false">
      <c r="A66" s="8" t="s">
        <v>184</v>
      </c>
      <c r="B66" s="8" t="s">
        <v>91</v>
      </c>
      <c r="C66" s="8" t="n">
        <v>0</v>
      </c>
      <c r="D66" s="8" t="n">
        <v>0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 t="s">
        <v>121</v>
      </c>
      <c r="Q66" s="8" t="n">
        <v>0</v>
      </c>
      <c r="R66" s="8" t="n">
        <v>0</v>
      </c>
    </row>
    <row r="67" customFormat="false" ht="15" hidden="false" customHeight="false" outlineLevel="0" collapsed="false">
      <c r="A67" s="8" t="s">
        <v>185</v>
      </c>
      <c r="B67" s="8" t="s">
        <v>91</v>
      </c>
      <c r="C67" s="8" t="n">
        <v>0</v>
      </c>
      <c r="D67" s="8" t="n">
        <v>0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 t="s">
        <v>121</v>
      </c>
      <c r="Q67" s="8" t="n">
        <v>0</v>
      </c>
      <c r="R67" s="8" t="n">
        <v>0</v>
      </c>
    </row>
    <row r="68" customFormat="false" ht="15" hidden="false" customHeight="false" outlineLevel="0" collapsed="false">
      <c r="A68" s="8" t="s">
        <v>186</v>
      </c>
      <c r="B68" s="8" t="s">
        <v>91</v>
      </c>
      <c r="C68" s="8" t="n">
        <v>1</v>
      </c>
      <c r="D68" s="8" t="n">
        <v>0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 t="s">
        <v>48</v>
      </c>
      <c r="P68" s="8" t="s">
        <v>119</v>
      </c>
      <c r="Q68" s="8" t="n">
        <v>1</v>
      </c>
      <c r="R68" s="8" t="n">
        <v>0</v>
      </c>
    </row>
    <row r="69" customFormat="false" ht="15" hidden="false" customHeight="false" outlineLevel="0" collapsed="false">
      <c r="A69" s="8" t="s">
        <v>187</v>
      </c>
      <c r="B69" s="8" t="s">
        <v>91</v>
      </c>
      <c r="C69" s="8" t="n">
        <v>1</v>
      </c>
      <c r="D69" s="8" t="n">
        <v>5266</v>
      </c>
      <c r="E69" s="8"/>
      <c r="F69" s="8" t="s">
        <v>38</v>
      </c>
      <c r="G69" s="8"/>
      <c r="H69" s="8"/>
      <c r="I69" s="8"/>
      <c r="J69" s="8"/>
      <c r="K69" s="8"/>
      <c r="L69" s="8"/>
      <c r="M69" s="8"/>
      <c r="N69" s="8"/>
      <c r="O69" s="8"/>
      <c r="P69" s="8" t="s">
        <v>119</v>
      </c>
      <c r="Q69" s="8" t="n">
        <v>0</v>
      </c>
      <c r="R69" s="8" t="n">
        <v>1</v>
      </c>
    </row>
    <row r="70" customFormat="false" ht="15" hidden="false" customHeight="false" outlineLevel="0" collapsed="false">
      <c r="A70" s="8" t="s">
        <v>188</v>
      </c>
      <c r="B70" s="8" t="s">
        <v>91</v>
      </c>
      <c r="C70" s="8" t="n">
        <v>1</v>
      </c>
      <c r="D70" s="8" t="n">
        <v>0</v>
      </c>
      <c r="E70" s="8"/>
      <c r="F70" s="8"/>
      <c r="G70" s="8"/>
      <c r="H70" s="8"/>
      <c r="I70" s="8"/>
      <c r="J70" s="8"/>
      <c r="K70" s="8"/>
      <c r="L70" s="8"/>
      <c r="M70" s="8"/>
      <c r="N70" s="8" t="s">
        <v>48</v>
      </c>
      <c r="O70" s="8" t="s">
        <v>48</v>
      </c>
      <c r="P70" s="8" t="s">
        <v>119</v>
      </c>
      <c r="Q70" s="8" t="n">
        <v>1</v>
      </c>
      <c r="R70" s="8" t="n">
        <v>0</v>
      </c>
    </row>
    <row r="71" customFormat="false" ht="15" hidden="false" customHeight="false" outlineLevel="0" collapsed="false">
      <c r="A71" s="8" t="s">
        <v>189</v>
      </c>
      <c r="B71" s="8" t="s">
        <v>91</v>
      </c>
      <c r="C71" s="8" t="n">
        <v>0</v>
      </c>
      <c r="D71" s="8" t="n">
        <v>0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 t="s">
        <v>121</v>
      </c>
      <c r="Q71" s="8" t="n">
        <v>0</v>
      </c>
      <c r="R71" s="8" t="n">
        <v>0</v>
      </c>
    </row>
    <row r="72" customFormat="false" ht="15" hidden="false" customHeight="false" outlineLevel="0" collapsed="false">
      <c r="A72" s="8" t="s">
        <v>190</v>
      </c>
      <c r="B72" s="8" t="s">
        <v>91</v>
      </c>
      <c r="C72" s="8" t="n">
        <v>1</v>
      </c>
      <c r="D72" s="8" t="n">
        <v>6948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 t="s">
        <v>48</v>
      </c>
      <c r="P72" s="8" t="s">
        <v>119</v>
      </c>
      <c r="Q72" s="8" t="n">
        <v>1</v>
      </c>
      <c r="R72" s="8" t="n">
        <v>0</v>
      </c>
    </row>
    <row r="73" customFormat="false" ht="15" hidden="false" customHeight="false" outlineLevel="0" collapsed="false">
      <c r="A73" s="8" t="s">
        <v>191</v>
      </c>
      <c r="B73" s="8" t="s">
        <v>91</v>
      </c>
      <c r="C73" s="8" t="n">
        <v>0</v>
      </c>
      <c r="D73" s="8" t="n">
        <v>0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 t="s">
        <v>121</v>
      </c>
      <c r="Q73" s="8" t="n">
        <v>0</v>
      </c>
      <c r="R73" s="8" t="n">
        <v>0</v>
      </c>
    </row>
    <row r="74" customFormat="false" ht="15" hidden="false" customHeight="false" outlineLevel="0" collapsed="false">
      <c r="A74" s="8" t="s">
        <v>192</v>
      </c>
      <c r="B74" s="8" t="s">
        <v>91</v>
      </c>
      <c r="C74" s="8" t="n">
        <v>1</v>
      </c>
      <c r="D74" s="8" t="n">
        <v>5288</v>
      </c>
      <c r="E74" s="8"/>
      <c r="F74" s="8" t="s">
        <v>38</v>
      </c>
      <c r="G74" s="8"/>
      <c r="H74" s="8"/>
      <c r="I74" s="8"/>
      <c r="J74" s="8"/>
      <c r="K74" s="8"/>
      <c r="L74" s="8"/>
      <c r="M74" s="8"/>
      <c r="N74" s="8"/>
      <c r="O74" s="8"/>
      <c r="P74" s="8" t="s">
        <v>119</v>
      </c>
      <c r="Q74" s="8" t="n">
        <v>0</v>
      </c>
      <c r="R74" s="8" t="n">
        <v>1</v>
      </c>
    </row>
    <row r="75" customFormat="false" ht="15" hidden="false" customHeight="false" outlineLevel="0" collapsed="false">
      <c r="A75" s="8" t="s">
        <v>193</v>
      </c>
      <c r="B75" s="8" t="s">
        <v>91</v>
      </c>
      <c r="C75" s="8" t="n">
        <v>1</v>
      </c>
      <c r="D75" s="8" t="n">
        <v>0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 t="s">
        <v>48</v>
      </c>
      <c r="P75" s="8" t="s">
        <v>119</v>
      </c>
      <c r="Q75" s="8" t="n">
        <v>1</v>
      </c>
      <c r="R75" s="8" t="n">
        <v>0</v>
      </c>
    </row>
    <row r="76" customFormat="false" ht="15" hidden="false" customHeight="false" outlineLevel="0" collapsed="false">
      <c r="A76" s="8" t="s">
        <v>194</v>
      </c>
      <c r="B76" s="8" t="s">
        <v>91</v>
      </c>
      <c r="C76" s="8" t="n">
        <v>0</v>
      </c>
      <c r="D76" s="8" t="n">
        <v>0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 t="s">
        <v>121</v>
      </c>
      <c r="Q76" s="8" t="n">
        <v>0</v>
      </c>
      <c r="R76" s="8" t="n">
        <v>0</v>
      </c>
    </row>
    <row r="77" customFormat="false" ht="15" hidden="false" customHeight="false" outlineLevel="0" collapsed="false">
      <c r="A77" s="8" t="s">
        <v>195</v>
      </c>
      <c r="B77" s="8" t="s">
        <v>91</v>
      </c>
      <c r="C77" s="8" t="n">
        <v>0</v>
      </c>
      <c r="D77" s="8" t="n">
        <v>0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 t="s">
        <v>121</v>
      </c>
      <c r="Q77" s="8" t="n">
        <v>0</v>
      </c>
      <c r="R77" s="8" t="n">
        <v>0</v>
      </c>
    </row>
    <row r="78" customFormat="false" ht="15" hidden="false" customHeight="false" outlineLevel="0" collapsed="false">
      <c r="A78" s="8" t="s">
        <v>196</v>
      </c>
      <c r="B78" s="8" t="s">
        <v>91</v>
      </c>
      <c r="C78" s="8" t="n">
        <v>0</v>
      </c>
      <c r="D78" s="8" t="n">
        <v>0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 t="s">
        <v>121</v>
      </c>
      <c r="Q78" s="8" t="n">
        <v>0</v>
      </c>
      <c r="R78" s="8" t="n">
        <v>0</v>
      </c>
    </row>
    <row r="79" customFormat="false" ht="15" hidden="false" customHeight="false" outlineLevel="0" collapsed="false">
      <c r="A79" s="8" t="s">
        <v>197</v>
      </c>
      <c r="B79" s="8" t="s">
        <v>91</v>
      </c>
      <c r="C79" s="8" t="n">
        <v>1</v>
      </c>
      <c r="D79" s="8" t="n">
        <v>42200</v>
      </c>
      <c r="E79" s="8"/>
      <c r="F79" s="8" t="s">
        <v>38</v>
      </c>
      <c r="G79" s="8"/>
      <c r="H79" s="8"/>
      <c r="I79" s="8"/>
      <c r="J79" s="8"/>
      <c r="K79" s="8"/>
      <c r="L79" s="8"/>
      <c r="M79" s="8"/>
      <c r="N79" s="8" t="s">
        <v>48</v>
      </c>
      <c r="O79" s="8" t="s">
        <v>48</v>
      </c>
      <c r="P79" s="8" t="s">
        <v>119</v>
      </c>
      <c r="Q79" s="8" t="n">
        <v>1</v>
      </c>
      <c r="R79" s="8" t="n">
        <v>1</v>
      </c>
    </row>
    <row r="80" customFormat="false" ht="15" hidden="false" customHeight="false" outlineLevel="0" collapsed="false">
      <c r="A80" s="8" t="s">
        <v>198</v>
      </c>
      <c r="B80" s="8" t="s">
        <v>91</v>
      </c>
      <c r="C80" s="8" t="n">
        <v>0</v>
      </c>
      <c r="D80" s="8" t="n">
        <v>0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 t="s">
        <v>121</v>
      </c>
      <c r="Q80" s="8" t="n">
        <v>0</v>
      </c>
      <c r="R80" s="8" t="n">
        <v>0</v>
      </c>
    </row>
    <row r="81" customFormat="false" ht="15" hidden="false" customHeight="false" outlineLevel="0" collapsed="false">
      <c r="A81" s="8" t="s">
        <v>199</v>
      </c>
      <c r="B81" s="8" t="s">
        <v>91</v>
      </c>
      <c r="C81" s="8" t="n">
        <v>0</v>
      </c>
      <c r="D81" s="8" t="n">
        <v>0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 t="s">
        <v>121</v>
      </c>
      <c r="Q81" s="8" t="n">
        <v>0</v>
      </c>
      <c r="R81" s="8" t="n">
        <v>0</v>
      </c>
    </row>
    <row r="82" customFormat="false" ht="15" hidden="false" customHeight="false" outlineLevel="0" collapsed="false">
      <c r="A82" s="8" t="s">
        <v>200</v>
      </c>
      <c r="B82" s="8" t="s">
        <v>91</v>
      </c>
      <c r="C82" s="8" t="n">
        <v>1</v>
      </c>
      <c r="D82" s="8" t="n">
        <v>0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 t="s">
        <v>48</v>
      </c>
      <c r="P82" s="8" t="s">
        <v>119</v>
      </c>
      <c r="Q82" s="8" t="n">
        <v>1</v>
      </c>
      <c r="R82" s="8" t="n">
        <v>0</v>
      </c>
    </row>
    <row r="83" customFormat="false" ht="15" hidden="false" customHeight="false" outlineLevel="0" collapsed="false">
      <c r="A83" s="8" t="s">
        <v>201</v>
      </c>
      <c r="B83" s="8" t="s">
        <v>91</v>
      </c>
      <c r="C83" s="8" t="n">
        <v>0</v>
      </c>
      <c r="D83" s="8" t="n">
        <v>0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 t="s">
        <v>121</v>
      </c>
      <c r="Q83" s="8" t="n">
        <v>0</v>
      </c>
      <c r="R83" s="8" t="n">
        <v>0</v>
      </c>
    </row>
    <row r="84" customFormat="false" ht="15" hidden="false" customHeight="false" outlineLevel="0" collapsed="false">
      <c r="A84" s="8" t="s">
        <v>202</v>
      </c>
      <c r="B84" s="8" t="s">
        <v>91</v>
      </c>
      <c r="C84" s="8" t="n">
        <v>1</v>
      </c>
      <c r="D84" s="8" t="n">
        <v>0</v>
      </c>
      <c r="E84" s="8"/>
      <c r="F84" s="8"/>
      <c r="G84" s="8"/>
      <c r="H84" s="8"/>
      <c r="I84" s="8"/>
      <c r="J84" s="8"/>
      <c r="K84" s="8"/>
      <c r="L84" s="8"/>
      <c r="M84" s="8"/>
      <c r="N84" s="8" t="s">
        <v>48</v>
      </c>
      <c r="O84" s="8" t="s">
        <v>48</v>
      </c>
      <c r="P84" s="8" t="s">
        <v>119</v>
      </c>
      <c r="Q84" s="8" t="n">
        <v>1</v>
      </c>
      <c r="R84" s="8" t="n">
        <v>0</v>
      </c>
    </row>
    <row r="85" customFormat="false" ht="15" hidden="false" customHeight="false" outlineLevel="0" collapsed="false">
      <c r="A85" s="8" t="s">
        <v>203</v>
      </c>
      <c r="B85" s="8" t="s">
        <v>91</v>
      </c>
      <c r="C85" s="8" t="n">
        <v>1</v>
      </c>
      <c r="D85" s="8" t="n">
        <v>42200</v>
      </c>
      <c r="E85" s="8"/>
      <c r="F85" s="8" t="s">
        <v>38</v>
      </c>
      <c r="G85" s="8"/>
      <c r="H85" s="8"/>
      <c r="I85" s="8"/>
      <c r="J85" s="8"/>
      <c r="K85" s="8"/>
      <c r="L85" s="8"/>
      <c r="M85" s="8"/>
      <c r="N85" s="8" t="s">
        <v>48</v>
      </c>
      <c r="O85" s="8" t="s">
        <v>48</v>
      </c>
      <c r="P85" s="8" t="s">
        <v>119</v>
      </c>
      <c r="Q85" s="8" t="n">
        <v>1</v>
      </c>
      <c r="R85" s="8" t="n">
        <v>1</v>
      </c>
    </row>
    <row r="86" customFormat="false" ht="15" hidden="false" customHeight="false" outlineLevel="0" collapsed="false">
      <c r="A86" s="8" t="s">
        <v>204</v>
      </c>
      <c r="B86" s="8" t="s">
        <v>91</v>
      </c>
      <c r="C86" s="8" t="n">
        <v>0</v>
      </c>
      <c r="D86" s="8" t="n">
        <v>0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 t="s">
        <v>121</v>
      </c>
      <c r="Q86" s="8" t="n">
        <v>0</v>
      </c>
      <c r="R86" s="8" t="n">
        <v>0</v>
      </c>
    </row>
    <row r="87" customFormat="false" ht="15" hidden="false" customHeight="false" outlineLevel="0" collapsed="false">
      <c r="A87" s="8" t="s">
        <v>205</v>
      </c>
      <c r="B87" s="8" t="s">
        <v>91</v>
      </c>
      <c r="C87" s="8" t="n">
        <v>1</v>
      </c>
      <c r="D87" s="8" t="n">
        <v>3928</v>
      </c>
      <c r="E87" s="8"/>
      <c r="F87" s="8" t="s">
        <v>38</v>
      </c>
      <c r="G87" s="8"/>
      <c r="H87" s="8"/>
      <c r="I87" s="8"/>
      <c r="J87" s="8"/>
      <c r="K87" s="8"/>
      <c r="L87" s="8"/>
      <c r="M87" s="8"/>
      <c r="N87" s="8"/>
      <c r="O87" s="8"/>
      <c r="P87" s="8" t="s">
        <v>119</v>
      </c>
      <c r="Q87" s="8" t="n">
        <v>0</v>
      </c>
      <c r="R87" s="8" t="n">
        <v>1</v>
      </c>
    </row>
    <row r="88" customFormat="false" ht="15" hidden="false" customHeight="false" outlineLevel="0" collapsed="false">
      <c r="A88" s="8" t="s">
        <v>206</v>
      </c>
      <c r="B88" s="8" t="s">
        <v>91</v>
      </c>
      <c r="C88" s="8" t="n">
        <v>0</v>
      </c>
      <c r="D88" s="8" t="n">
        <v>0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 t="s">
        <v>121</v>
      </c>
      <c r="Q88" s="8" t="n">
        <v>0</v>
      </c>
      <c r="R88" s="8" t="n">
        <v>0</v>
      </c>
    </row>
    <row r="89" customFormat="false" ht="15" hidden="false" customHeight="false" outlineLevel="0" collapsed="false">
      <c r="A89" s="8" t="s">
        <v>207</v>
      </c>
      <c r="B89" s="8" t="s">
        <v>91</v>
      </c>
      <c r="C89" s="8" t="n">
        <v>1</v>
      </c>
      <c r="D89" s="8" t="n">
        <v>0</v>
      </c>
      <c r="E89" s="8"/>
      <c r="F89" s="8"/>
      <c r="G89" s="8"/>
      <c r="H89" s="8"/>
      <c r="I89" s="8"/>
      <c r="J89" s="8"/>
      <c r="K89" s="8"/>
      <c r="L89" s="8"/>
      <c r="M89" s="8"/>
      <c r="N89" s="8" t="s">
        <v>48</v>
      </c>
      <c r="O89" s="8" t="s">
        <v>48</v>
      </c>
      <c r="P89" s="8" t="s">
        <v>119</v>
      </c>
      <c r="Q89" s="8" t="n">
        <v>1</v>
      </c>
      <c r="R89" s="8" t="n">
        <v>0</v>
      </c>
    </row>
    <row r="90" customFormat="false" ht="15" hidden="false" customHeight="false" outlineLevel="0" collapsed="false">
      <c r="A90" s="8" t="s">
        <v>208</v>
      </c>
      <c r="B90" s="8" t="s">
        <v>91</v>
      </c>
      <c r="C90" s="8" t="n">
        <v>0</v>
      </c>
      <c r="D90" s="8" t="n">
        <v>0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 t="s">
        <v>121</v>
      </c>
      <c r="Q90" s="8" t="n">
        <v>0</v>
      </c>
      <c r="R90" s="8" t="n">
        <v>0</v>
      </c>
    </row>
    <row r="91" customFormat="false" ht="15" hidden="false" customHeight="false" outlineLevel="0" collapsed="false">
      <c r="A91" s="8" t="s">
        <v>209</v>
      </c>
      <c r="B91" s="8" t="s">
        <v>91</v>
      </c>
      <c r="C91" s="8" t="n">
        <v>0</v>
      </c>
      <c r="D91" s="8" t="n">
        <v>0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 t="s">
        <v>121</v>
      </c>
      <c r="Q91" s="8" t="n">
        <v>0</v>
      </c>
      <c r="R91" s="8" t="n">
        <v>0</v>
      </c>
    </row>
    <row r="92" customFormat="false" ht="15" hidden="false" customHeight="false" outlineLevel="0" collapsed="false">
      <c r="A92" s="8" t="s">
        <v>210</v>
      </c>
      <c r="B92" s="8" t="s">
        <v>91</v>
      </c>
      <c r="C92" s="8" t="n">
        <v>0</v>
      </c>
      <c r="D92" s="8" t="n">
        <v>0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 t="s">
        <v>121</v>
      </c>
      <c r="Q92" s="8" t="n">
        <v>0</v>
      </c>
      <c r="R92" s="8" t="n">
        <v>0</v>
      </c>
    </row>
    <row r="93" customFormat="false" ht="15" hidden="false" customHeight="false" outlineLevel="0" collapsed="false">
      <c r="A93" s="8" t="s">
        <v>211</v>
      </c>
      <c r="B93" s="8" t="s">
        <v>91</v>
      </c>
      <c r="C93" s="8" t="n">
        <v>0</v>
      </c>
      <c r="D93" s="8" t="n">
        <v>0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 t="s">
        <v>121</v>
      </c>
      <c r="Q93" s="8" t="n">
        <v>0</v>
      </c>
      <c r="R93" s="8" t="n">
        <v>0</v>
      </c>
    </row>
    <row r="94" customFormat="false" ht="15" hidden="false" customHeight="false" outlineLevel="0" collapsed="false">
      <c r="A94" s="8" t="s">
        <v>212</v>
      </c>
      <c r="B94" s="8" t="s">
        <v>91</v>
      </c>
      <c r="C94" s="8" t="n">
        <v>0</v>
      </c>
      <c r="D94" s="8" t="n">
        <v>0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 t="s">
        <v>121</v>
      </c>
      <c r="Q94" s="8" t="n">
        <v>0</v>
      </c>
      <c r="R94" s="8" t="n">
        <v>0</v>
      </c>
    </row>
    <row r="95" customFormat="false" ht="15" hidden="false" customHeight="false" outlineLevel="0" collapsed="false">
      <c r="A95" s="8" t="s">
        <v>213</v>
      </c>
      <c r="B95" s="8" t="s">
        <v>91</v>
      </c>
      <c r="C95" s="8" t="n">
        <v>0</v>
      </c>
      <c r="D95" s="8" t="n">
        <v>0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 t="s">
        <v>121</v>
      </c>
      <c r="Q95" s="8" t="n">
        <v>0</v>
      </c>
      <c r="R95" s="8" t="n">
        <v>0</v>
      </c>
    </row>
    <row r="96" customFormat="false" ht="15" hidden="false" customHeight="false" outlineLevel="0" collapsed="false">
      <c r="A96" s="8" t="s">
        <v>214</v>
      </c>
      <c r="B96" s="8" t="s">
        <v>91</v>
      </c>
      <c r="C96" s="8" t="n">
        <v>0</v>
      </c>
      <c r="D96" s="8" t="n">
        <v>0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 t="s">
        <v>121</v>
      </c>
      <c r="Q96" s="8" t="n">
        <v>0</v>
      </c>
      <c r="R96" s="8" t="n">
        <v>0</v>
      </c>
    </row>
    <row r="97" customFormat="false" ht="15" hidden="false" customHeight="false" outlineLevel="0" collapsed="false">
      <c r="A97" s="8" t="s">
        <v>215</v>
      </c>
      <c r="B97" s="8" t="s">
        <v>91</v>
      </c>
      <c r="C97" s="8" t="n">
        <v>0</v>
      </c>
      <c r="D97" s="8" t="n">
        <v>0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 t="s">
        <v>121</v>
      </c>
      <c r="Q97" s="8" t="n">
        <v>0</v>
      </c>
      <c r="R97" s="8" t="n">
        <v>0</v>
      </c>
    </row>
    <row r="98" customFormat="false" ht="15" hidden="false" customHeight="false" outlineLevel="0" collapsed="false">
      <c r="A98" s="8" t="s">
        <v>216</v>
      </c>
      <c r="B98" s="8" t="s">
        <v>91</v>
      </c>
      <c r="C98" s="8" t="n">
        <v>0</v>
      </c>
      <c r="D98" s="8" t="n">
        <v>0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 t="s">
        <v>121</v>
      </c>
      <c r="Q98" s="8" t="n">
        <v>0</v>
      </c>
      <c r="R98" s="8" t="n">
        <v>0</v>
      </c>
    </row>
    <row r="99" customFormat="false" ht="15" hidden="false" customHeight="false" outlineLevel="0" collapsed="false">
      <c r="A99" s="8" t="s">
        <v>217</v>
      </c>
      <c r="B99" s="8" t="s">
        <v>91</v>
      </c>
      <c r="C99" s="8" t="n">
        <v>0</v>
      </c>
      <c r="D99" s="8" t="n">
        <v>0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 t="s">
        <v>121</v>
      </c>
      <c r="Q99" s="8" t="n">
        <v>0</v>
      </c>
      <c r="R99" s="8" t="n">
        <v>0</v>
      </c>
    </row>
    <row r="100" customFormat="false" ht="15" hidden="false" customHeight="false" outlineLevel="0" collapsed="false">
      <c r="A100" s="8" t="s">
        <v>218</v>
      </c>
      <c r="B100" s="8" t="s">
        <v>91</v>
      </c>
      <c r="C100" s="8" t="n">
        <v>0</v>
      </c>
      <c r="D100" s="8" t="n">
        <v>0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 t="s">
        <v>121</v>
      </c>
      <c r="Q100" s="8" t="n">
        <v>0</v>
      </c>
      <c r="R100" s="8" t="n">
        <v>0</v>
      </c>
    </row>
    <row r="101" customFormat="false" ht="15" hidden="false" customHeight="false" outlineLevel="0" collapsed="false">
      <c r="A101" s="8" t="s">
        <v>219</v>
      </c>
      <c r="B101" s="8" t="s">
        <v>91</v>
      </c>
      <c r="C101" s="8" t="n">
        <v>1</v>
      </c>
      <c r="D101" s="8" t="n">
        <v>0</v>
      </c>
      <c r="E101" s="8"/>
      <c r="F101" s="8"/>
      <c r="G101" s="8"/>
      <c r="H101" s="8"/>
      <c r="I101" s="8"/>
      <c r="J101" s="8"/>
      <c r="K101" s="8"/>
      <c r="L101" s="8"/>
      <c r="M101" s="8"/>
      <c r="N101" s="8" t="s">
        <v>48</v>
      </c>
      <c r="O101" s="8" t="s">
        <v>48</v>
      </c>
      <c r="P101" s="8" t="s">
        <v>119</v>
      </c>
      <c r="Q101" s="8" t="n">
        <v>1</v>
      </c>
      <c r="R101" s="8" t="n">
        <v>0</v>
      </c>
    </row>
    <row r="102" customFormat="false" ht="15" hidden="false" customHeight="false" outlineLevel="0" collapsed="false">
      <c r="A102" s="8" t="s">
        <v>220</v>
      </c>
      <c r="B102" s="8" t="s">
        <v>91</v>
      </c>
      <c r="C102" s="8" t="n">
        <v>0</v>
      </c>
      <c r="D102" s="8" t="n">
        <v>0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 t="s">
        <v>121</v>
      </c>
      <c r="Q102" s="8" t="n">
        <v>0</v>
      </c>
      <c r="R102" s="8" t="n">
        <v>0</v>
      </c>
    </row>
    <row r="103" customFormat="false" ht="15" hidden="false" customHeight="false" outlineLevel="0" collapsed="false">
      <c r="A103" s="8" t="s">
        <v>221</v>
      </c>
      <c r="B103" s="8" t="s">
        <v>91</v>
      </c>
      <c r="C103" s="8" t="n">
        <v>0</v>
      </c>
      <c r="D103" s="8" t="n">
        <v>0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 t="s">
        <v>121</v>
      </c>
      <c r="Q103" s="8" t="n">
        <v>0</v>
      </c>
      <c r="R103" s="8" t="n">
        <v>0</v>
      </c>
    </row>
    <row r="104" customFormat="false" ht="15" hidden="false" customHeight="false" outlineLevel="0" collapsed="false">
      <c r="A104" s="8" t="s">
        <v>222</v>
      </c>
      <c r="B104" s="8" t="s">
        <v>91</v>
      </c>
      <c r="C104" s="8" t="n">
        <v>0</v>
      </c>
      <c r="D104" s="8" t="n">
        <v>0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 t="s">
        <v>121</v>
      </c>
      <c r="Q104" s="8" t="n">
        <v>0</v>
      </c>
      <c r="R104" s="8" t="n">
        <v>0</v>
      </c>
    </row>
    <row r="105" customFormat="false" ht="15" hidden="false" customHeight="false" outlineLevel="0" collapsed="false">
      <c r="A105" s="8" t="s">
        <v>223</v>
      </c>
      <c r="B105" s="8" t="s">
        <v>91</v>
      </c>
      <c r="C105" s="8" t="n">
        <v>1</v>
      </c>
      <c r="D105" s="8" t="n">
        <v>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 t="s">
        <v>48</v>
      </c>
      <c r="P105" s="8" t="s">
        <v>119</v>
      </c>
      <c r="Q105" s="8" t="n">
        <v>1</v>
      </c>
      <c r="R105" s="8" t="n">
        <v>0</v>
      </c>
    </row>
    <row r="106" customFormat="false" ht="15" hidden="false" customHeight="false" outlineLevel="0" collapsed="false">
      <c r="A106" s="8" t="s">
        <v>224</v>
      </c>
      <c r="B106" s="8" t="s">
        <v>91</v>
      </c>
      <c r="C106" s="8" t="n">
        <v>0</v>
      </c>
      <c r="D106" s="8" t="n">
        <v>0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 t="s">
        <v>121</v>
      </c>
      <c r="Q106" s="8" t="n">
        <v>0</v>
      </c>
      <c r="R106" s="8" t="n">
        <v>0</v>
      </c>
    </row>
    <row r="107" customFormat="false" ht="15" hidden="false" customHeight="false" outlineLevel="0" collapsed="false">
      <c r="A107" s="8" t="s">
        <v>225</v>
      </c>
      <c r="B107" s="8" t="s">
        <v>91</v>
      </c>
      <c r="C107" s="8" t="n">
        <v>1</v>
      </c>
      <c r="D107" s="8" t="n">
        <v>0</v>
      </c>
      <c r="E107" s="8"/>
      <c r="F107" s="8"/>
      <c r="G107" s="8"/>
      <c r="H107" s="8"/>
      <c r="I107" s="8"/>
      <c r="J107" s="8"/>
      <c r="K107" s="8"/>
      <c r="L107" s="8"/>
      <c r="M107" s="8"/>
      <c r="N107" s="8" t="s">
        <v>48</v>
      </c>
      <c r="O107" s="8" t="s">
        <v>48</v>
      </c>
      <c r="P107" s="8" t="s">
        <v>119</v>
      </c>
      <c r="Q107" s="8" t="n">
        <v>1</v>
      </c>
      <c r="R107" s="8" t="n">
        <v>0</v>
      </c>
    </row>
    <row r="108" customFormat="false" ht="15" hidden="false" customHeight="false" outlineLevel="0" collapsed="false">
      <c r="A108" s="8" t="s">
        <v>226</v>
      </c>
      <c r="B108" s="8" t="s">
        <v>91</v>
      </c>
      <c r="C108" s="8" t="n">
        <v>0</v>
      </c>
      <c r="D108" s="8" t="n">
        <v>0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 t="s">
        <v>121</v>
      </c>
      <c r="Q108" s="8" t="n">
        <v>0</v>
      </c>
      <c r="R108" s="8" t="n">
        <v>0</v>
      </c>
    </row>
    <row r="109" customFormat="false" ht="15" hidden="false" customHeight="false" outlineLevel="0" collapsed="false">
      <c r="A109" s="8" t="s">
        <v>227</v>
      </c>
      <c r="B109" s="8" t="s">
        <v>91</v>
      </c>
      <c r="C109" s="8" t="n">
        <v>1</v>
      </c>
      <c r="D109" s="8" t="n">
        <v>0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 t="s">
        <v>48</v>
      </c>
      <c r="P109" s="8" t="s">
        <v>119</v>
      </c>
      <c r="Q109" s="8" t="n">
        <v>1</v>
      </c>
      <c r="R109" s="8" t="n">
        <v>0</v>
      </c>
    </row>
    <row r="110" customFormat="false" ht="15" hidden="false" customHeight="false" outlineLevel="0" collapsed="false">
      <c r="A110" s="8" t="s">
        <v>228</v>
      </c>
      <c r="B110" s="8" t="s">
        <v>91</v>
      </c>
      <c r="C110" s="8" t="n">
        <v>0</v>
      </c>
      <c r="D110" s="8" t="n">
        <v>0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 t="s">
        <v>121</v>
      </c>
      <c r="Q110" s="8" t="n">
        <v>0</v>
      </c>
      <c r="R110" s="8" t="n">
        <v>0</v>
      </c>
    </row>
    <row r="111" customFormat="false" ht="15" hidden="false" customHeight="false" outlineLevel="0" collapsed="false">
      <c r="A111" s="8" t="s">
        <v>229</v>
      </c>
      <c r="B111" s="8" t="s">
        <v>91</v>
      </c>
      <c r="C111" s="8" t="n">
        <v>0</v>
      </c>
      <c r="D111" s="8" t="n">
        <v>0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 t="s">
        <v>121</v>
      </c>
      <c r="Q111" s="8" t="n">
        <v>0</v>
      </c>
      <c r="R111" s="8" t="n">
        <v>0</v>
      </c>
    </row>
    <row r="112" customFormat="false" ht="15" hidden="false" customHeight="false" outlineLevel="0" collapsed="false">
      <c r="A112" s="8" t="s">
        <v>230</v>
      </c>
      <c r="B112" s="8" t="s">
        <v>91</v>
      </c>
      <c r="C112" s="8" t="n">
        <v>1</v>
      </c>
      <c r="D112" s="8" t="n">
        <v>0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 t="s">
        <v>48</v>
      </c>
      <c r="P112" s="8" t="s">
        <v>119</v>
      </c>
      <c r="Q112" s="8" t="n">
        <v>1</v>
      </c>
      <c r="R112" s="8" t="n">
        <v>0</v>
      </c>
    </row>
    <row r="113" customFormat="false" ht="15" hidden="false" customHeight="false" outlineLevel="0" collapsed="false">
      <c r="A113" s="8" t="s">
        <v>231</v>
      </c>
      <c r="B113" s="8" t="s">
        <v>91</v>
      </c>
      <c r="C113" s="8" t="n">
        <v>0</v>
      </c>
      <c r="D113" s="8" t="n">
        <v>0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 t="s">
        <v>121</v>
      </c>
      <c r="Q113" s="8" t="n">
        <v>0</v>
      </c>
      <c r="R113" s="8" t="n">
        <v>0</v>
      </c>
    </row>
    <row r="114" customFormat="false" ht="15" hidden="false" customHeight="false" outlineLevel="0" collapsed="false">
      <c r="A114" s="8" t="s">
        <v>232</v>
      </c>
      <c r="B114" s="8" t="s">
        <v>91</v>
      </c>
      <c r="C114" s="8" t="n">
        <v>0</v>
      </c>
      <c r="D114" s="8" t="n">
        <v>0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 t="s">
        <v>121</v>
      </c>
      <c r="Q114" s="8" t="n">
        <v>0</v>
      </c>
      <c r="R114" s="8" t="n">
        <v>0</v>
      </c>
    </row>
    <row r="115" customFormat="false" ht="15" hidden="false" customHeight="false" outlineLevel="0" collapsed="false">
      <c r="A115" s="8" t="s">
        <v>233</v>
      </c>
      <c r="B115" s="8" t="s">
        <v>91</v>
      </c>
      <c r="C115" s="8" t="n">
        <v>0</v>
      </c>
      <c r="D115" s="8" t="n">
        <v>0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 t="s">
        <v>121</v>
      </c>
      <c r="Q115" s="8" t="n">
        <v>0</v>
      </c>
      <c r="R115" s="8" t="n">
        <v>0</v>
      </c>
    </row>
    <row r="116" customFormat="false" ht="15" hidden="false" customHeight="false" outlineLevel="0" collapsed="false">
      <c r="A116" s="8" t="s">
        <v>234</v>
      </c>
      <c r="B116" s="8" t="s">
        <v>91</v>
      </c>
      <c r="C116" s="8" t="n">
        <v>0</v>
      </c>
      <c r="D116" s="8" t="n">
        <v>0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 t="s">
        <v>121</v>
      </c>
      <c r="Q116" s="8" t="n">
        <v>0</v>
      </c>
      <c r="R116" s="8" t="n">
        <v>0</v>
      </c>
    </row>
    <row r="117" customFormat="false" ht="15" hidden="false" customHeight="false" outlineLevel="0" collapsed="false">
      <c r="A117" s="8" t="s">
        <v>235</v>
      </c>
      <c r="B117" s="8" t="s">
        <v>91</v>
      </c>
      <c r="C117" s="8" t="n">
        <v>0</v>
      </c>
      <c r="D117" s="8" t="n">
        <v>0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 t="s">
        <v>121</v>
      </c>
      <c r="Q117" s="8" t="n">
        <v>0</v>
      </c>
      <c r="R117" s="8" t="n">
        <v>0</v>
      </c>
    </row>
    <row r="118" customFormat="false" ht="15" hidden="false" customHeight="false" outlineLevel="0" collapsed="false">
      <c r="A118" s="8" t="s">
        <v>236</v>
      </c>
      <c r="B118" s="8" t="s">
        <v>91</v>
      </c>
      <c r="C118" s="8" t="n">
        <v>0</v>
      </c>
      <c r="D118" s="8" t="n">
        <v>0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 t="s">
        <v>121</v>
      </c>
      <c r="Q118" s="8" t="n">
        <v>0</v>
      </c>
      <c r="R118" s="8" t="n">
        <v>0</v>
      </c>
    </row>
    <row r="119" customFormat="false" ht="15" hidden="false" customHeight="false" outlineLevel="0" collapsed="false">
      <c r="A119" s="8" t="s">
        <v>237</v>
      </c>
      <c r="B119" s="8" t="s">
        <v>91</v>
      </c>
      <c r="C119" s="8" t="n">
        <v>1</v>
      </c>
      <c r="D119" s="8" t="n">
        <v>0</v>
      </c>
      <c r="E119" s="8"/>
      <c r="F119" s="8"/>
      <c r="G119" s="8"/>
      <c r="H119" s="8"/>
      <c r="I119" s="8"/>
      <c r="J119" s="8"/>
      <c r="K119" s="8"/>
      <c r="L119" s="8"/>
      <c r="M119" s="8"/>
      <c r="N119" s="8" t="s">
        <v>48</v>
      </c>
      <c r="O119" s="8" t="s">
        <v>48</v>
      </c>
      <c r="P119" s="8" t="s">
        <v>119</v>
      </c>
      <c r="Q119" s="8" t="n">
        <v>1</v>
      </c>
      <c r="R119" s="8" t="n">
        <v>0</v>
      </c>
    </row>
    <row r="120" customFormat="false" ht="15" hidden="false" customHeight="false" outlineLevel="0" collapsed="false">
      <c r="A120" s="8" t="s">
        <v>238</v>
      </c>
      <c r="B120" s="8" t="s">
        <v>91</v>
      </c>
      <c r="C120" s="8" t="n">
        <v>1</v>
      </c>
      <c r="D120" s="8" t="n">
        <v>2456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 t="s">
        <v>48</v>
      </c>
      <c r="P120" s="8" t="s">
        <v>119</v>
      </c>
      <c r="Q120" s="8" t="n">
        <v>1</v>
      </c>
      <c r="R120" s="8" t="n">
        <v>0</v>
      </c>
    </row>
    <row r="121" customFormat="false" ht="15" hidden="false" customHeight="false" outlineLevel="0" collapsed="false">
      <c r="A121" s="8" t="s">
        <v>239</v>
      </c>
      <c r="B121" s="8" t="s">
        <v>91</v>
      </c>
      <c r="C121" s="8" t="n">
        <v>1</v>
      </c>
      <c r="D121" s="8" t="n">
        <v>0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 t="s">
        <v>48</v>
      </c>
      <c r="P121" s="8" t="s">
        <v>119</v>
      </c>
      <c r="Q121" s="8" t="n">
        <v>1</v>
      </c>
      <c r="R121" s="8" t="n">
        <v>0</v>
      </c>
    </row>
    <row r="122" customFormat="false" ht="15" hidden="false" customHeight="false" outlineLevel="0" collapsed="false">
      <c r="A122" s="8" t="s">
        <v>240</v>
      </c>
      <c r="B122" s="8" t="s">
        <v>91</v>
      </c>
      <c r="C122" s="8" t="n">
        <v>1</v>
      </c>
      <c r="D122" s="8" t="n">
        <v>0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 t="s">
        <v>48</v>
      </c>
      <c r="P122" s="8" t="s">
        <v>119</v>
      </c>
      <c r="Q122" s="8" t="n">
        <v>1</v>
      </c>
      <c r="R122" s="8" t="n">
        <v>0</v>
      </c>
    </row>
    <row r="123" customFormat="false" ht="15" hidden="false" customHeight="false" outlineLevel="0" collapsed="false">
      <c r="A123" s="8" t="s">
        <v>241</v>
      </c>
      <c r="B123" s="8" t="s">
        <v>91</v>
      </c>
      <c r="C123" s="8" t="n">
        <v>0</v>
      </c>
      <c r="D123" s="8" t="n">
        <v>0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 t="s">
        <v>121</v>
      </c>
      <c r="Q123" s="8" t="n">
        <v>0</v>
      </c>
      <c r="R123" s="8" t="n">
        <v>0</v>
      </c>
    </row>
    <row r="124" customFormat="false" ht="15" hidden="false" customHeight="false" outlineLevel="0" collapsed="false">
      <c r="A124" s="8" t="s">
        <v>242</v>
      </c>
      <c r="B124" s="8" t="s">
        <v>91</v>
      </c>
      <c r="C124" s="8" t="n">
        <v>1</v>
      </c>
      <c r="D124" s="8" t="n">
        <v>0</v>
      </c>
      <c r="E124" s="8"/>
      <c r="F124" s="8"/>
      <c r="G124" s="8"/>
      <c r="H124" s="8"/>
      <c r="I124" s="8"/>
      <c r="J124" s="8"/>
      <c r="K124" s="8"/>
      <c r="L124" s="8"/>
      <c r="M124" s="8"/>
      <c r="N124" s="8" t="s">
        <v>48</v>
      </c>
      <c r="O124" s="8" t="s">
        <v>48</v>
      </c>
      <c r="P124" s="8" t="s">
        <v>119</v>
      </c>
      <c r="Q124" s="8" t="n">
        <v>1</v>
      </c>
      <c r="R124" s="8" t="n">
        <v>0</v>
      </c>
    </row>
    <row r="125" customFormat="false" ht="15" hidden="false" customHeight="false" outlineLevel="0" collapsed="false">
      <c r="A125" s="8" t="s">
        <v>243</v>
      </c>
      <c r="B125" s="8" t="s">
        <v>91</v>
      </c>
      <c r="C125" s="8" t="n">
        <v>1</v>
      </c>
      <c r="D125" s="8" t="n">
        <v>12166</v>
      </c>
      <c r="E125" s="8"/>
      <c r="F125" s="8" t="s">
        <v>38</v>
      </c>
      <c r="G125" s="8"/>
      <c r="H125" s="8"/>
      <c r="I125" s="8"/>
      <c r="J125" s="8"/>
      <c r="K125" s="8"/>
      <c r="L125" s="8"/>
      <c r="M125" s="8"/>
      <c r="N125" s="8"/>
      <c r="O125" s="8"/>
      <c r="P125" s="8" t="s">
        <v>119</v>
      </c>
      <c r="Q125" s="8" t="n">
        <v>0</v>
      </c>
      <c r="R125" s="8" t="n">
        <v>1</v>
      </c>
    </row>
    <row r="126" customFormat="false" ht="15" hidden="false" customHeight="false" outlineLevel="0" collapsed="false">
      <c r="A126" s="8" t="s">
        <v>244</v>
      </c>
      <c r="B126" s="8" t="s">
        <v>91</v>
      </c>
      <c r="C126" s="8" t="n">
        <v>0</v>
      </c>
      <c r="D126" s="8" t="n">
        <v>0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 t="s">
        <v>121</v>
      </c>
      <c r="Q126" s="8" t="n">
        <v>0</v>
      </c>
      <c r="R126" s="8" t="n">
        <v>0</v>
      </c>
    </row>
    <row r="127" customFormat="false" ht="15" hidden="false" customHeight="false" outlineLevel="0" collapsed="false">
      <c r="A127" s="8" t="s">
        <v>245</v>
      </c>
      <c r="B127" s="8" t="s">
        <v>91</v>
      </c>
      <c r="C127" s="8" t="n">
        <v>1</v>
      </c>
      <c r="D127" s="8" t="n">
        <v>7024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 t="s">
        <v>48</v>
      </c>
      <c r="P127" s="8" t="s">
        <v>119</v>
      </c>
      <c r="Q127" s="8" t="n">
        <v>1</v>
      </c>
      <c r="R127" s="8" t="n">
        <v>0</v>
      </c>
    </row>
    <row r="128" customFormat="false" ht="15" hidden="false" customHeight="false" outlineLevel="0" collapsed="false">
      <c r="A128" s="8" t="s">
        <v>246</v>
      </c>
      <c r="B128" s="8" t="s">
        <v>91</v>
      </c>
      <c r="C128" s="8" t="n">
        <v>1</v>
      </c>
      <c r="D128" s="8" t="n">
        <v>0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 t="s">
        <v>48</v>
      </c>
      <c r="P128" s="8" t="s">
        <v>119</v>
      </c>
      <c r="Q128" s="8" t="n">
        <v>1</v>
      </c>
      <c r="R128" s="8" t="n">
        <v>0</v>
      </c>
    </row>
    <row r="129" customFormat="false" ht="15" hidden="false" customHeight="false" outlineLevel="0" collapsed="false">
      <c r="A129" s="8" t="s">
        <v>247</v>
      </c>
      <c r="B129" s="8" t="s">
        <v>91</v>
      </c>
      <c r="C129" s="8" t="n">
        <v>1</v>
      </c>
      <c r="D129" s="8" t="n">
        <v>0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 t="s">
        <v>48</v>
      </c>
      <c r="P129" s="8" t="s">
        <v>119</v>
      </c>
      <c r="Q129" s="8" t="n">
        <v>1</v>
      </c>
      <c r="R129" s="8" t="n">
        <v>0</v>
      </c>
    </row>
    <row r="130" customFormat="false" ht="15" hidden="false" customHeight="false" outlineLevel="0" collapsed="false">
      <c r="A130" s="8" t="s">
        <v>248</v>
      </c>
      <c r="B130" s="8" t="s">
        <v>91</v>
      </c>
      <c r="C130" s="8" t="n">
        <v>1</v>
      </c>
      <c r="D130" s="8" t="n">
        <v>0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 t="s">
        <v>48</v>
      </c>
      <c r="P130" s="8" t="s">
        <v>119</v>
      </c>
      <c r="Q130" s="8" t="n">
        <v>1</v>
      </c>
      <c r="R130" s="8" t="n">
        <v>0</v>
      </c>
    </row>
    <row r="131" customFormat="false" ht="15" hidden="false" customHeight="false" outlineLevel="0" collapsed="false">
      <c r="A131" s="8" t="s">
        <v>249</v>
      </c>
      <c r="B131" s="8" t="s">
        <v>91</v>
      </c>
      <c r="C131" s="8" t="n">
        <v>0</v>
      </c>
      <c r="D131" s="8" t="n">
        <v>0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 t="s">
        <v>121</v>
      </c>
      <c r="Q131" s="8" t="n">
        <v>0</v>
      </c>
      <c r="R131" s="8" t="n">
        <v>0</v>
      </c>
    </row>
    <row r="132" customFormat="false" ht="15" hidden="false" customHeight="false" outlineLevel="0" collapsed="false">
      <c r="A132" s="8" t="s">
        <v>250</v>
      </c>
      <c r="B132" s="8" t="s">
        <v>91</v>
      </c>
      <c r="C132" s="8" t="n">
        <v>0</v>
      </c>
      <c r="D132" s="8" t="n">
        <v>0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 t="s">
        <v>121</v>
      </c>
      <c r="Q132" s="8" t="n">
        <v>0</v>
      </c>
      <c r="R132" s="8" t="n">
        <v>0</v>
      </c>
    </row>
    <row r="133" customFormat="false" ht="15" hidden="false" customHeight="false" outlineLevel="0" collapsed="false">
      <c r="A133" s="8" t="s">
        <v>251</v>
      </c>
      <c r="B133" s="8" t="s">
        <v>91</v>
      </c>
      <c r="C133" s="8" t="n">
        <v>0</v>
      </c>
      <c r="D133" s="8" t="n">
        <v>0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 t="s">
        <v>121</v>
      </c>
      <c r="Q133" s="8" t="n">
        <v>0</v>
      </c>
      <c r="R133" s="8" t="n">
        <v>0</v>
      </c>
    </row>
    <row r="134" customFormat="false" ht="15" hidden="false" customHeight="false" outlineLevel="0" collapsed="false">
      <c r="A134" s="8" t="s">
        <v>252</v>
      </c>
      <c r="B134" s="8" t="s">
        <v>91</v>
      </c>
      <c r="C134" s="8" t="n">
        <v>0</v>
      </c>
      <c r="D134" s="8" t="n">
        <v>0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 t="s">
        <v>121</v>
      </c>
      <c r="Q134" s="8" t="n">
        <v>0</v>
      </c>
      <c r="R134" s="8" t="n">
        <v>0</v>
      </c>
    </row>
    <row r="135" customFormat="false" ht="15" hidden="false" customHeight="false" outlineLevel="0" collapsed="false">
      <c r="A135" s="8" t="s">
        <v>253</v>
      </c>
      <c r="B135" s="8" t="s">
        <v>91</v>
      </c>
      <c r="C135" s="8" t="n">
        <v>0</v>
      </c>
      <c r="D135" s="8" t="n">
        <v>0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 t="s">
        <v>121</v>
      </c>
      <c r="Q135" s="8" t="n">
        <v>0</v>
      </c>
      <c r="R135" s="8" t="n">
        <v>0</v>
      </c>
    </row>
    <row r="136" customFormat="false" ht="15" hidden="false" customHeight="false" outlineLevel="0" collapsed="false">
      <c r="A136" s="8" t="s">
        <v>254</v>
      </c>
      <c r="B136" s="8" t="s">
        <v>91</v>
      </c>
      <c r="C136" s="8" t="n">
        <v>0</v>
      </c>
      <c r="D136" s="8" t="n">
        <v>0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 t="s">
        <v>121</v>
      </c>
      <c r="Q136" s="8" t="n">
        <v>0</v>
      </c>
      <c r="R136" s="8" t="n">
        <v>0</v>
      </c>
    </row>
    <row r="137" customFormat="false" ht="15" hidden="false" customHeight="false" outlineLevel="0" collapsed="false">
      <c r="A137" s="8" t="s">
        <v>255</v>
      </c>
      <c r="B137" s="8" t="s">
        <v>91</v>
      </c>
      <c r="C137" s="8" t="n">
        <v>0</v>
      </c>
      <c r="D137" s="8" t="n">
        <v>0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 t="s">
        <v>121</v>
      </c>
      <c r="Q137" s="8" t="n">
        <v>0</v>
      </c>
      <c r="R137" s="8" t="n">
        <v>0</v>
      </c>
    </row>
    <row r="138" customFormat="false" ht="15" hidden="false" customHeight="false" outlineLevel="0" collapsed="false">
      <c r="A138" s="8" t="s">
        <v>256</v>
      </c>
      <c r="B138" s="8" t="s">
        <v>91</v>
      </c>
      <c r="C138" s="8" t="n">
        <v>1</v>
      </c>
      <c r="D138" s="8" t="n">
        <v>7898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 t="s">
        <v>48</v>
      </c>
      <c r="P138" s="8" t="s">
        <v>119</v>
      </c>
      <c r="Q138" s="8" t="n">
        <v>1</v>
      </c>
      <c r="R138" s="8" t="n">
        <v>0</v>
      </c>
    </row>
    <row r="139" customFormat="false" ht="15" hidden="false" customHeight="false" outlineLevel="0" collapsed="false">
      <c r="A139" s="8" t="s">
        <v>257</v>
      </c>
      <c r="B139" s="8" t="s">
        <v>91</v>
      </c>
      <c r="C139" s="8" t="n">
        <v>0</v>
      </c>
      <c r="D139" s="8" t="n">
        <v>0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 t="s">
        <v>121</v>
      </c>
      <c r="Q139" s="8" t="n">
        <v>0</v>
      </c>
      <c r="R139" s="8" t="n">
        <v>0</v>
      </c>
    </row>
    <row r="140" customFormat="false" ht="15" hidden="false" customHeight="false" outlineLevel="0" collapsed="false">
      <c r="A140" s="8" t="s">
        <v>258</v>
      </c>
      <c r="B140" s="8" t="s">
        <v>91</v>
      </c>
      <c r="C140" s="8" t="n">
        <v>0</v>
      </c>
      <c r="D140" s="8" t="n">
        <v>0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 t="s">
        <v>121</v>
      </c>
      <c r="Q140" s="8" t="n">
        <v>0</v>
      </c>
      <c r="R140" s="8" t="n">
        <v>0</v>
      </c>
    </row>
    <row r="141" customFormat="false" ht="15" hidden="false" customHeight="false" outlineLevel="0" collapsed="false">
      <c r="A141" s="8" t="s">
        <v>259</v>
      </c>
      <c r="B141" s="8" t="s">
        <v>91</v>
      </c>
      <c r="C141" s="8" t="n">
        <v>1</v>
      </c>
      <c r="D141" s="8" t="n">
        <v>42200</v>
      </c>
      <c r="E141" s="8"/>
      <c r="F141" s="8" t="s">
        <v>38</v>
      </c>
      <c r="G141" s="8"/>
      <c r="H141" s="8"/>
      <c r="I141" s="8"/>
      <c r="J141" s="8"/>
      <c r="K141" s="8"/>
      <c r="L141" s="8"/>
      <c r="M141" s="8"/>
      <c r="N141" s="8" t="s">
        <v>48</v>
      </c>
      <c r="O141" s="8" t="s">
        <v>48</v>
      </c>
      <c r="P141" s="8" t="s">
        <v>119</v>
      </c>
      <c r="Q141" s="8" t="n">
        <v>1</v>
      </c>
      <c r="R141" s="8" t="n">
        <v>1</v>
      </c>
    </row>
    <row r="142" customFormat="false" ht="15" hidden="false" customHeight="false" outlineLevel="0" collapsed="false">
      <c r="A142" s="8" t="s">
        <v>260</v>
      </c>
      <c r="B142" s="8" t="s">
        <v>91</v>
      </c>
      <c r="C142" s="8" t="n">
        <v>1</v>
      </c>
      <c r="D142" s="8" t="n">
        <v>12166</v>
      </c>
      <c r="E142" s="8"/>
      <c r="F142" s="8" t="s">
        <v>38</v>
      </c>
      <c r="G142" s="8"/>
      <c r="H142" s="8"/>
      <c r="I142" s="8"/>
      <c r="J142" s="8"/>
      <c r="K142" s="8"/>
      <c r="L142" s="8"/>
      <c r="M142" s="8"/>
      <c r="N142" s="8"/>
      <c r="O142" s="8"/>
      <c r="P142" s="8" t="s">
        <v>119</v>
      </c>
      <c r="Q142" s="8" t="n">
        <v>0</v>
      </c>
      <c r="R142" s="8" t="n">
        <v>1</v>
      </c>
    </row>
    <row r="143" customFormat="false" ht="15" hidden="false" customHeight="false" outlineLevel="0" collapsed="false">
      <c r="A143" s="8" t="s">
        <v>261</v>
      </c>
      <c r="B143" s="8" t="s">
        <v>91</v>
      </c>
      <c r="C143" s="8" t="n">
        <v>0</v>
      </c>
      <c r="D143" s="8" t="n">
        <v>0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 t="s">
        <v>121</v>
      </c>
      <c r="Q143" s="8" t="n">
        <v>0</v>
      </c>
      <c r="R143" s="8" t="n">
        <v>0</v>
      </c>
    </row>
    <row r="144" customFormat="false" ht="15" hidden="false" customHeight="false" outlineLevel="0" collapsed="false">
      <c r="A144" s="8" t="s">
        <v>262</v>
      </c>
      <c r="B144" s="8" t="s">
        <v>91</v>
      </c>
      <c r="C144" s="8" t="n">
        <v>0</v>
      </c>
      <c r="D144" s="8" t="n">
        <v>0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 t="s">
        <v>121</v>
      </c>
      <c r="Q144" s="8" t="n">
        <v>0</v>
      </c>
      <c r="R144" s="8" t="n">
        <v>0</v>
      </c>
    </row>
    <row r="145" customFormat="false" ht="15" hidden="false" customHeight="false" outlineLevel="0" collapsed="false">
      <c r="A145" s="8" t="s">
        <v>263</v>
      </c>
      <c r="B145" s="8" t="s">
        <v>91</v>
      </c>
      <c r="C145" s="8" t="n">
        <v>1</v>
      </c>
      <c r="D145" s="8" t="n">
        <v>2108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 t="s">
        <v>48</v>
      </c>
      <c r="P145" s="8" t="s">
        <v>119</v>
      </c>
      <c r="Q145" s="8" t="n">
        <v>1</v>
      </c>
      <c r="R145" s="8" t="n">
        <v>0</v>
      </c>
    </row>
    <row r="146" customFormat="false" ht="15" hidden="false" customHeight="false" outlineLevel="0" collapsed="false">
      <c r="A146" s="8" t="s">
        <v>264</v>
      </c>
      <c r="B146" s="8" t="s">
        <v>91</v>
      </c>
      <c r="C146" s="8" t="n">
        <v>1</v>
      </c>
      <c r="D146" s="8" t="n">
        <v>12668</v>
      </c>
      <c r="E146" s="8"/>
      <c r="F146" s="8" t="s">
        <v>38</v>
      </c>
      <c r="G146" s="8"/>
      <c r="H146" s="8"/>
      <c r="I146" s="8"/>
      <c r="J146" s="8"/>
      <c r="K146" s="8"/>
      <c r="L146" s="8"/>
      <c r="M146" s="8"/>
      <c r="N146" s="8"/>
      <c r="O146" s="8"/>
      <c r="P146" s="8" t="s">
        <v>119</v>
      </c>
      <c r="Q146" s="8" t="n">
        <v>0</v>
      </c>
      <c r="R146" s="8" t="n">
        <v>1</v>
      </c>
    </row>
    <row r="147" customFormat="false" ht="15" hidden="false" customHeight="false" outlineLevel="0" collapsed="false">
      <c r="A147" s="8" t="s">
        <v>265</v>
      </c>
      <c r="B147" s="8" t="s">
        <v>91</v>
      </c>
      <c r="C147" s="8" t="n">
        <v>0</v>
      </c>
      <c r="D147" s="8" t="n">
        <v>0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 t="s">
        <v>121</v>
      </c>
      <c r="Q147" s="8" t="n">
        <v>0</v>
      </c>
      <c r="R147" s="8" t="n">
        <v>0</v>
      </c>
    </row>
    <row r="148" customFormat="false" ht="15" hidden="false" customHeight="false" outlineLevel="0" collapsed="false">
      <c r="A148" s="8" t="s">
        <v>266</v>
      </c>
      <c r="B148" s="8" t="s">
        <v>91</v>
      </c>
      <c r="C148" s="8" t="n">
        <v>0</v>
      </c>
      <c r="D148" s="8" t="n">
        <v>0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 t="s">
        <v>121</v>
      </c>
      <c r="Q148" s="8" t="n">
        <v>0</v>
      </c>
      <c r="R148" s="8" t="n">
        <v>0</v>
      </c>
    </row>
    <row r="149" customFormat="false" ht="15" hidden="false" customHeight="false" outlineLevel="0" collapsed="false">
      <c r="A149" s="8" t="s">
        <v>267</v>
      </c>
      <c r="B149" s="8" t="s">
        <v>91</v>
      </c>
      <c r="C149" s="8" t="n">
        <v>0</v>
      </c>
      <c r="D149" s="8" t="n">
        <v>0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 t="s">
        <v>121</v>
      </c>
      <c r="Q149" s="8" t="n">
        <v>0</v>
      </c>
      <c r="R149" s="8" t="n">
        <v>0</v>
      </c>
    </row>
    <row r="150" customFormat="false" ht="15" hidden="false" customHeight="false" outlineLevel="0" collapsed="false">
      <c r="A150" s="8" t="s">
        <v>268</v>
      </c>
      <c r="B150" s="8" t="s">
        <v>91</v>
      </c>
      <c r="C150" s="8" t="n">
        <v>0</v>
      </c>
      <c r="D150" s="8" t="n">
        <v>0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 t="s">
        <v>121</v>
      </c>
      <c r="Q150" s="8" t="n">
        <v>0</v>
      </c>
      <c r="R150" s="8" t="n">
        <v>0</v>
      </c>
    </row>
    <row r="151" customFormat="false" ht="15" hidden="false" customHeight="false" outlineLevel="0" collapsed="false">
      <c r="A151" s="8" t="s">
        <v>269</v>
      </c>
      <c r="B151" s="8" t="s">
        <v>91</v>
      </c>
      <c r="C151" s="8" t="n">
        <v>0</v>
      </c>
      <c r="D151" s="8" t="n">
        <v>0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 t="s">
        <v>121</v>
      </c>
      <c r="Q151" s="8" t="n">
        <v>0</v>
      </c>
      <c r="R151" s="8" t="n">
        <v>0</v>
      </c>
    </row>
    <row r="152" customFormat="false" ht="15" hidden="false" customHeight="false" outlineLevel="0" collapsed="false">
      <c r="A152" s="8" t="s">
        <v>270</v>
      </c>
      <c r="B152" s="8" t="s">
        <v>91</v>
      </c>
      <c r="C152" s="8" t="n">
        <v>0</v>
      </c>
      <c r="D152" s="8" t="n">
        <v>0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 t="s">
        <v>121</v>
      </c>
      <c r="Q152" s="8" t="n">
        <v>0</v>
      </c>
      <c r="R152" s="8" t="n">
        <v>0</v>
      </c>
    </row>
    <row r="153" customFormat="false" ht="15" hidden="false" customHeight="false" outlineLevel="0" collapsed="false">
      <c r="A153" s="8" t="s">
        <v>271</v>
      </c>
      <c r="B153" s="8" t="s">
        <v>91</v>
      </c>
      <c r="C153" s="8" t="n">
        <v>1</v>
      </c>
      <c r="D153" s="8" t="n">
        <v>42200</v>
      </c>
      <c r="E153" s="8"/>
      <c r="F153" s="8" t="s">
        <v>38</v>
      </c>
      <c r="G153" s="8"/>
      <c r="H153" s="8"/>
      <c r="I153" s="8"/>
      <c r="J153" s="8"/>
      <c r="K153" s="8"/>
      <c r="L153" s="8"/>
      <c r="M153" s="8"/>
      <c r="N153" s="8" t="s">
        <v>48</v>
      </c>
      <c r="O153" s="8" t="s">
        <v>48</v>
      </c>
      <c r="P153" s="8" t="s">
        <v>119</v>
      </c>
      <c r="Q153" s="8" t="n">
        <v>1</v>
      </c>
      <c r="R153" s="8" t="n">
        <v>1</v>
      </c>
    </row>
    <row r="154" customFormat="false" ht="15" hidden="false" customHeight="false" outlineLevel="0" collapsed="false">
      <c r="A154" s="8" t="s">
        <v>272</v>
      </c>
      <c r="B154" s="8" t="s">
        <v>91</v>
      </c>
      <c r="C154" s="8" t="n">
        <v>0</v>
      </c>
      <c r="D154" s="8" t="n">
        <v>0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 t="s">
        <v>121</v>
      </c>
      <c r="Q154" s="8" t="n">
        <v>0</v>
      </c>
      <c r="R154" s="8" t="n">
        <v>0</v>
      </c>
    </row>
    <row r="155" customFormat="false" ht="15" hidden="false" customHeight="false" outlineLevel="0" collapsed="false">
      <c r="A155" s="8" t="s">
        <v>273</v>
      </c>
      <c r="B155" s="8" t="s">
        <v>91</v>
      </c>
      <c r="C155" s="8" t="n">
        <v>1</v>
      </c>
      <c r="D155" s="8" t="n">
        <v>0</v>
      </c>
      <c r="E155" s="8"/>
      <c r="F155" s="8"/>
      <c r="G155" s="8"/>
      <c r="H155" s="8"/>
      <c r="I155" s="8"/>
      <c r="J155" s="8"/>
      <c r="K155" s="8"/>
      <c r="L155" s="8"/>
      <c r="M155" s="8"/>
      <c r="N155" s="8" t="s">
        <v>48</v>
      </c>
      <c r="O155" s="8" t="s">
        <v>48</v>
      </c>
      <c r="P155" s="8" t="s">
        <v>119</v>
      </c>
      <c r="Q155" s="8" t="n">
        <v>1</v>
      </c>
      <c r="R155" s="8" t="n">
        <v>0</v>
      </c>
    </row>
    <row r="156" customFormat="false" ht="15" hidden="false" customHeight="false" outlineLevel="0" collapsed="false">
      <c r="A156" s="8" t="s">
        <v>274</v>
      </c>
      <c r="B156" s="8" t="s">
        <v>91</v>
      </c>
      <c r="C156" s="8" t="n">
        <v>0</v>
      </c>
      <c r="D156" s="8" t="n">
        <v>0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 t="s">
        <v>121</v>
      </c>
      <c r="Q156" s="8" t="n">
        <v>0</v>
      </c>
      <c r="R156" s="8" t="n">
        <v>0</v>
      </c>
    </row>
    <row r="157" customFormat="false" ht="15" hidden="false" customHeight="false" outlineLevel="0" collapsed="false">
      <c r="A157" s="8" t="s">
        <v>275</v>
      </c>
      <c r="B157" s="8" t="s">
        <v>91</v>
      </c>
      <c r="C157" s="8" t="n">
        <v>0</v>
      </c>
      <c r="D157" s="8" t="n">
        <v>0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 t="s">
        <v>121</v>
      </c>
      <c r="Q157" s="8" t="n">
        <v>0</v>
      </c>
      <c r="R157" s="8" t="n">
        <v>0</v>
      </c>
    </row>
    <row r="158" customFormat="false" ht="15" hidden="false" customHeight="false" outlineLevel="0" collapsed="false">
      <c r="A158" s="8" t="s">
        <v>276</v>
      </c>
      <c r="B158" s="8" t="s">
        <v>91</v>
      </c>
      <c r="C158" s="8" t="n">
        <v>0</v>
      </c>
      <c r="D158" s="8" t="n">
        <v>0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 t="s">
        <v>121</v>
      </c>
      <c r="Q158" s="8" t="n">
        <v>0</v>
      </c>
      <c r="R158" s="8" t="n">
        <v>0</v>
      </c>
    </row>
    <row r="159" customFormat="false" ht="15" hidden="false" customHeight="false" outlineLevel="0" collapsed="false">
      <c r="A159" s="8" t="s">
        <v>277</v>
      </c>
      <c r="B159" s="8" t="s">
        <v>91</v>
      </c>
      <c r="C159" s="8" t="n">
        <v>1</v>
      </c>
      <c r="D159" s="8" t="n">
        <v>0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 t="s">
        <v>48</v>
      </c>
      <c r="P159" s="8" t="s">
        <v>119</v>
      </c>
      <c r="Q159" s="8" t="n">
        <v>1</v>
      </c>
      <c r="R159" s="8" t="n">
        <v>0</v>
      </c>
    </row>
    <row r="160" customFormat="false" ht="15" hidden="false" customHeight="false" outlineLevel="0" collapsed="false">
      <c r="A160" s="8" t="s">
        <v>278</v>
      </c>
      <c r="B160" s="8" t="s">
        <v>91</v>
      </c>
      <c r="C160" s="8" t="n">
        <v>1</v>
      </c>
      <c r="D160" s="8" t="n">
        <v>12480</v>
      </c>
      <c r="E160" s="8"/>
      <c r="F160" s="8" t="s">
        <v>38</v>
      </c>
      <c r="G160" s="8"/>
      <c r="H160" s="8"/>
      <c r="I160" s="8"/>
      <c r="J160" s="8"/>
      <c r="K160" s="8"/>
      <c r="L160" s="8"/>
      <c r="M160" s="8"/>
      <c r="N160" s="8"/>
      <c r="O160" s="8"/>
      <c r="P160" s="8" t="s">
        <v>119</v>
      </c>
      <c r="Q160" s="8" t="n">
        <v>0</v>
      </c>
      <c r="R160" s="8" t="n">
        <v>1</v>
      </c>
    </row>
    <row r="161" customFormat="false" ht="15" hidden="false" customHeight="false" outlineLevel="0" collapsed="false">
      <c r="A161" s="8" t="s">
        <v>279</v>
      </c>
      <c r="B161" s="8" t="s">
        <v>91</v>
      </c>
      <c r="C161" s="8" t="n">
        <v>0</v>
      </c>
      <c r="D161" s="8" t="n">
        <v>0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 t="s">
        <v>121</v>
      </c>
      <c r="Q161" s="8" t="n">
        <v>0</v>
      </c>
      <c r="R161" s="8" t="n">
        <v>0</v>
      </c>
    </row>
    <row r="162" customFormat="false" ht="15" hidden="false" customHeight="false" outlineLevel="0" collapsed="false">
      <c r="A162" s="8" t="s">
        <v>280</v>
      </c>
      <c r="B162" s="8" t="s">
        <v>91</v>
      </c>
      <c r="C162" s="8" t="n">
        <v>1</v>
      </c>
      <c r="D162" s="8" t="n">
        <v>0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 t="s">
        <v>48</v>
      </c>
      <c r="P162" s="8" t="s">
        <v>119</v>
      </c>
      <c r="Q162" s="8" t="n">
        <v>1</v>
      </c>
      <c r="R162" s="8" t="n">
        <v>0</v>
      </c>
    </row>
    <row r="163" customFormat="false" ht="15" hidden="false" customHeight="false" outlineLevel="0" collapsed="false">
      <c r="A163" s="8" t="s">
        <v>281</v>
      </c>
      <c r="B163" s="8" t="s">
        <v>91</v>
      </c>
      <c r="C163" s="8" t="n">
        <v>0</v>
      </c>
      <c r="D163" s="8" t="n">
        <v>0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 t="s">
        <v>121</v>
      </c>
      <c r="Q163" s="8" t="n">
        <v>0</v>
      </c>
      <c r="R163" s="8" t="n">
        <v>0</v>
      </c>
    </row>
    <row r="164" customFormat="false" ht="15" hidden="false" customHeight="false" outlineLevel="0" collapsed="false">
      <c r="A164" s="8" t="s">
        <v>282</v>
      </c>
      <c r="B164" s="8" t="s">
        <v>91</v>
      </c>
      <c r="C164" s="8" t="n">
        <v>1</v>
      </c>
      <c r="D164" s="8" t="n">
        <v>0</v>
      </c>
      <c r="E164" s="8"/>
      <c r="F164" s="8"/>
      <c r="G164" s="8"/>
      <c r="H164" s="8"/>
      <c r="I164" s="8"/>
      <c r="J164" s="8"/>
      <c r="K164" s="8"/>
      <c r="L164" s="8"/>
      <c r="M164" s="8"/>
      <c r="N164" s="8" t="s">
        <v>48</v>
      </c>
      <c r="O164" s="8" t="s">
        <v>48</v>
      </c>
      <c r="P164" s="8" t="s">
        <v>119</v>
      </c>
      <c r="Q164" s="8" t="n">
        <v>1</v>
      </c>
      <c r="R164" s="8" t="n">
        <v>0</v>
      </c>
    </row>
    <row r="165" customFormat="false" ht="15" hidden="false" customHeight="false" outlineLevel="0" collapsed="false">
      <c r="A165" s="8" t="s">
        <v>283</v>
      </c>
      <c r="B165" s="8" t="s">
        <v>91</v>
      </c>
      <c r="C165" s="8" t="n">
        <v>0</v>
      </c>
      <c r="D165" s="8" t="n">
        <v>0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 t="s">
        <v>121</v>
      </c>
      <c r="Q165" s="8" t="n">
        <v>0</v>
      </c>
      <c r="R165" s="8" t="n">
        <v>0</v>
      </c>
    </row>
    <row r="166" customFormat="false" ht="15" hidden="false" customHeight="false" outlineLevel="0" collapsed="false">
      <c r="A166" s="8" t="s">
        <v>284</v>
      </c>
      <c r="B166" s="8" t="s">
        <v>91</v>
      </c>
      <c r="C166" s="8" t="n">
        <v>1</v>
      </c>
      <c r="D166" s="8" t="n">
        <v>2108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 t="s">
        <v>48</v>
      </c>
      <c r="P166" s="8" t="s">
        <v>119</v>
      </c>
      <c r="Q166" s="8" t="n">
        <v>1</v>
      </c>
      <c r="R166" s="8" t="n">
        <v>0</v>
      </c>
    </row>
    <row r="167" customFormat="false" ht="15" hidden="false" customHeight="false" outlineLevel="0" collapsed="false">
      <c r="A167" s="8" t="s">
        <v>285</v>
      </c>
      <c r="B167" s="8" t="s">
        <v>91</v>
      </c>
      <c r="C167" s="8" t="n">
        <v>0</v>
      </c>
      <c r="D167" s="8" t="n">
        <v>0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 t="s">
        <v>121</v>
      </c>
      <c r="Q167" s="8" t="n">
        <v>0</v>
      </c>
      <c r="R167" s="8" t="n">
        <v>0</v>
      </c>
    </row>
    <row r="168" customFormat="false" ht="15" hidden="false" customHeight="false" outlineLevel="0" collapsed="false">
      <c r="A168" s="8" t="s">
        <v>286</v>
      </c>
      <c r="B168" s="8" t="s">
        <v>91</v>
      </c>
      <c r="C168" s="8" t="n">
        <v>1</v>
      </c>
      <c r="D168" s="8" t="n">
        <v>2108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 t="s">
        <v>48</v>
      </c>
      <c r="P168" s="8" t="s">
        <v>119</v>
      </c>
      <c r="Q168" s="8" t="n">
        <v>1</v>
      </c>
      <c r="R168" s="8" t="n">
        <v>0</v>
      </c>
    </row>
    <row r="169" customFormat="false" ht="15" hidden="false" customHeight="false" outlineLevel="0" collapsed="false">
      <c r="A169" s="8" t="s">
        <v>287</v>
      </c>
      <c r="B169" s="8" t="s">
        <v>91</v>
      </c>
      <c r="C169" s="8" t="n">
        <v>0</v>
      </c>
      <c r="D169" s="8" t="n">
        <v>0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 t="s">
        <v>121</v>
      </c>
      <c r="Q169" s="8" t="n">
        <v>0</v>
      </c>
      <c r="R169" s="8" t="n">
        <v>0</v>
      </c>
    </row>
    <row r="170" customFormat="false" ht="15" hidden="false" customHeight="false" outlineLevel="0" collapsed="false">
      <c r="A170" s="8" t="s">
        <v>288</v>
      </c>
      <c r="B170" s="8" t="s">
        <v>91</v>
      </c>
      <c r="C170" s="8" t="n">
        <v>1</v>
      </c>
      <c r="D170" s="8" t="n">
        <v>0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 t="s">
        <v>48</v>
      </c>
      <c r="P170" s="8" t="s">
        <v>119</v>
      </c>
      <c r="Q170" s="8" t="n">
        <v>1</v>
      </c>
      <c r="R170" s="8" t="n">
        <v>0</v>
      </c>
    </row>
    <row r="171" customFormat="false" ht="15" hidden="false" customHeight="false" outlineLevel="0" collapsed="false">
      <c r="A171" s="8" t="s">
        <v>289</v>
      </c>
      <c r="B171" s="8" t="s">
        <v>91</v>
      </c>
      <c r="C171" s="8" t="n">
        <v>0</v>
      </c>
      <c r="D171" s="8" t="n">
        <v>0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 t="s">
        <v>121</v>
      </c>
      <c r="Q171" s="8" t="n">
        <v>0</v>
      </c>
      <c r="R171" s="8" t="n">
        <v>0</v>
      </c>
    </row>
    <row r="172" customFormat="false" ht="15" hidden="false" customHeight="false" outlineLevel="0" collapsed="false">
      <c r="A172" s="8" t="s">
        <v>290</v>
      </c>
      <c r="B172" s="8" t="s">
        <v>91</v>
      </c>
      <c r="C172" s="8" t="n">
        <v>0</v>
      </c>
      <c r="D172" s="8" t="n">
        <v>0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 t="s">
        <v>121</v>
      </c>
      <c r="Q172" s="8" t="n">
        <v>0</v>
      </c>
      <c r="R172" s="8" t="n">
        <v>0</v>
      </c>
    </row>
    <row r="173" customFormat="false" ht="15" hidden="false" customHeight="false" outlineLevel="0" collapsed="false">
      <c r="A173" s="8" t="s">
        <v>291</v>
      </c>
      <c r="B173" s="8" t="s">
        <v>91</v>
      </c>
      <c r="C173" s="8" t="n">
        <v>0</v>
      </c>
      <c r="D173" s="8" t="n">
        <v>0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 t="s">
        <v>121</v>
      </c>
      <c r="Q173" s="8" t="n">
        <v>0</v>
      </c>
      <c r="R173" s="8" t="n">
        <v>0</v>
      </c>
    </row>
    <row r="174" customFormat="false" ht="15" hidden="false" customHeight="false" outlineLevel="0" collapsed="false">
      <c r="A174" s="8" t="s">
        <v>292</v>
      </c>
      <c r="B174" s="8" t="s">
        <v>91</v>
      </c>
      <c r="C174" s="8" t="n">
        <v>0</v>
      </c>
      <c r="D174" s="8" t="n">
        <v>0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 t="s">
        <v>121</v>
      </c>
      <c r="Q174" s="8" t="n">
        <v>0</v>
      </c>
      <c r="R174" s="8" t="n">
        <v>0</v>
      </c>
    </row>
    <row r="175" customFormat="false" ht="15" hidden="false" customHeight="false" outlineLevel="0" collapsed="false">
      <c r="A175" s="8" t="s">
        <v>293</v>
      </c>
      <c r="B175" s="8" t="s">
        <v>91</v>
      </c>
      <c r="C175" s="8" t="n">
        <v>0</v>
      </c>
      <c r="D175" s="8" t="n">
        <v>0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 t="s">
        <v>121</v>
      </c>
      <c r="Q175" s="8" t="n">
        <v>0</v>
      </c>
      <c r="R175" s="8" t="n">
        <v>0</v>
      </c>
    </row>
    <row r="176" customFormat="false" ht="15" hidden="false" customHeight="false" outlineLevel="0" collapsed="false">
      <c r="A176" s="8" t="s">
        <v>294</v>
      </c>
      <c r="B176" s="8" t="s">
        <v>91</v>
      </c>
      <c r="C176" s="8" t="n">
        <v>1</v>
      </c>
      <c r="D176" s="8" t="n">
        <v>2456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 t="s">
        <v>48</v>
      </c>
      <c r="P176" s="8" t="s">
        <v>119</v>
      </c>
      <c r="Q176" s="8" t="n">
        <v>1</v>
      </c>
      <c r="R176" s="8" t="n">
        <v>0</v>
      </c>
    </row>
    <row r="177" customFormat="false" ht="15" hidden="false" customHeight="false" outlineLevel="0" collapsed="false">
      <c r="A177" s="8" t="s">
        <v>295</v>
      </c>
      <c r="B177" s="8" t="s">
        <v>91</v>
      </c>
      <c r="C177" s="8" t="n">
        <v>0</v>
      </c>
      <c r="D177" s="8" t="n">
        <v>0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 t="s">
        <v>121</v>
      </c>
      <c r="Q177" s="8" t="n">
        <v>0</v>
      </c>
      <c r="R177" s="8" t="n">
        <v>0</v>
      </c>
    </row>
    <row r="178" customFormat="false" ht="15" hidden="false" customHeight="false" outlineLevel="0" collapsed="false">
      <c r="A178" s="8" t="s">
        <v>296</v>
      </c>
      <c r="B178" s="8" t="s">
        <v>91</v>
      </c>
      <c r="C178" s="8" t="n">
        <v>1</v>
      </c>
      <c r="D178" s="8" t="n">
        <v>5288</v>
      </c>
      <c r="E178" s="8"/>
      <c r="F178" s="8" t="s">
        <v>38</v>
      </c>
      <c r="G178" s="8"/>
      <c r="H178" s="8"/>
      <c r="I178" s="8"/>
      <c r="J178" s="8"/>
      <c r="K178" s="8"/>
      <c r="L178" s="8"/>
      <c r="M178" s="8"/>
      <c r="N178" s="8"/>
      <c r="O178" s="8"/>
      <c r="P178" s="8" t="s">
        <v>119</v>
      </c>
      <c r="Q178" s="8" t="n">
        <v>0</v>
      </c>
      <c r="R178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2026-07-21T03:26:48Z</dcterms:created>
  <dc:creator>openpyxl</dc:creator>
  <dc:description/>
  <dc:language>en-US</dc:language>
  <cp:lastModifiedBy/>
  <dcterms:modified xsi:type="dcterms:W3CDTF">2026-07-21T03:26:48Z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