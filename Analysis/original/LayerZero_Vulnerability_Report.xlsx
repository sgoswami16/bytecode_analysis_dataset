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_Summary" sheetId="1" state="visible" r:id="rId3"/>
    <sheet name="Formula_Definitions" sheetId="2" state="visible" r:id="rId4"/>
    <sheet name="Per_Vulnerability_Analysis" sheetId="3" state="visible" r:id="rId5"/>
    <sheet name="Detection_Count_Analysis" sheetId="4" state="visible" r:id="rId6"/>
    <sheet name="Tool_Wise_Analysis" sheetId="5" state="visible" r:id="rId7"/>
    <sheet name="Contract_Level_Statistics" sheetId="6" state="visible" r:id="rId8"/>
    <sheet name="Agreement_Jaccard" sheetId="7" state="visible" r:id="rId9"/>
    <sheet name="Key_Findings" sheetId="8" state="visible" r:id="rId10"/>
    <sheet name="Why_These_Results" sheetId="9" state="visible" r:id="rId11"/>
    <sheet name="Data"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<sst xmlns="http://schemas.openxmlformats.org/spreadsheetml/2006/main" count="548" uniqueCount="228">
  <si>
    <t xml:space="preserve">LayerZero — Bridge Bytecode Vulnerability Detection: Executive Summary</t>
  </si>
  <si>
    <t xml:space="preserve">KEY METRICS</t>
  </si>
  <si>
    <t xml:space="preserve">WHAT THE DATA SHOWS</t>
  </si>
  <si>
    <t xml:space="preserve">Metric</t>
  </si>
  <si>
    <t xml:space="preserve">Formula</t>
  </si>
  <si>
    <t xml:space="preserve">Interpretation</t>
  </si>
  <si>
    <t xml:space="preserve">Detections D(v)</t>
  </si>
  <si>
    <t xml:space="preserve">COUNTIF(category_column, "&lt;&gt;")</t>
  </si>
  <si>
    <t xml:space="preserve">Number of contracts flagged for vulnerability v by its reporting tool</t>
  </si>
  <si>
    <t xml:space="preserve">Contracts w/ Bytecode</t>
  </si>
  <si>
    <t xml:space="preserve">SUM(Has_Bytecode)</t>
  </si>
  <si>
    <t xml:space="preserve">Denominator for prevalence; excludes EOA/unverified/no-code addresses</t>
  </si>
  <si>
    <t xml:space="preserve">Prevalence %</t>
  </si>
  <si>
    <t xml:space="preserve">D(v) / Contracts_w_Bytecode</t>
  </si>
  <si>
    <t xml:space="preserve">Share of resolved contracts flagged for category v</t>
  </si>
  <si>
    <t xml:space="preserve">Overall Vulnerable</t>
  </si>
  <si>
    <t xml:space="preserve">COUNTIFS(Has_Bytecode=1, Vulnerable="Yes")</t>
  </si>
  <si>
    <t xml:space="preserve">Contracts flagged by &gt;=1 tool, among resolved contracts</t>
  </si>
  <si>
    <t xml:space="preserve">Flags per Contract</t>
  </si>
  <si>
    <t xml:space="preserve">COUNT of active categories triggered per row</t>
  </si>
  <si>
    <t xml:space="preserve">How many distinct categories fire on the same contract</t>
  </si>
  <si>
    <t xml:space="preserve">Tool Flag Rate %</t>
  </si>
  <si>
    <t xml:space="preserve">Tool-flagged contracts / Contracts w/ Bytecode</t>
  </si>
  <si>
    <t xml:space="preserve">Per-tool prevalence, independent of category breakdown</t>
  </si>
  <si>
    <t xml:space="preserve">Jaccard Index J(A,B)</t>
  </si>
  <si>
    <t xml:space="preserve">|A ∩ B| / |A ∪ B|</t>
  </si>
  <si>
    <t xml:space="preserve">Overlap between the two tools' flagged sets; 0=no overlap, 1=identical sets</t>
  </si>
  <si>
    <t xml:space="preserve">Vulnerable Rate % (chain)</t>
  </si>
  <si>
    <t xml:space="preserve">Vulnerable(chain) / With_Bytecode(chain)</t>
  </si>
  <si>
    <t xml:space="preserve">Per-chain share of resolved contracts flagged</t>
  </si>
  <si>
    <t xml:space="preserve">LayerZero — Per-Vulnerability Analysis</t>
  </si>
  <si>
    <t xml:space="preserve">Category</t>
  </si>
  <si>
    <t xml:space="preserve">Detecting Tool</t>
  </si>
  <si>
    <t xml:space="preserve">Note</t>
  </si>
  <si>
    <t xml:space="preserve">Reentrancy</t>
  </si>
  <si>
    <t xml:space="preserve">Not covered (0 detections)</t>
  </si>
  <si>
    <t xml:space="preserve">Zero detections this run</t>
  </si>
  <si>
    <t xml:space="preserve">Integer</t>
  </si>
  <si>
    <t xml:space="preserve">Mythril</t>
  </si>
  <si>
    <t xml:space="preserve">Bytecode-level detection</t>
  </si>
  <si>
    <t xml:space="preserve">Access Control</t>
  </si>
  <si>
    <t xml:space="preserve">Delegatecall</t>
  </si>
  <si>
    <t xml:space="preserve">Unchecked Call</t>
  </si>
  <si>
    <t xml:space="preserve">Timestamp</t>
  </si>
  <si>
    <t xml:space="preserve">TOD</t>
  </si>
  <si>
    <t xml:space="preserve">DoS</t>
  </si>
  <si>
    <t xml:space="preserve">Selfdestruct</t>
  </si>
  <si>
    <t xml:space="preserve">Locked Ether</t>
  </si>
  <si>
    <t xml:space="preserve">MAIAN</t>
  </si>
  <si>
    <t xml:space="preserve">Ether Leak</t>
  </si>
  <si>
    <t xml:space="preserve">OVERALL VULNERABLE</t>
  </si>
  <si>
    <t xml:space="preserve">Any tool</t>
  </si>
  <si>
    <t xml:space="preserve">Flagged by &gt;=1 tool</t>
  </si>
  <si>
    <t xml:space="preserve">LayerZero — Detection Count Analysis</t>
  </si>
  <si>
    <t xml:space="preserve">Flags per contract = count of (Integer, Locked Ether, Ether Leak) triggered on that contract</t>
  </si>
  <si>
    <t xml:space="preserve">Contract Count</t>
  </si>
  <si>
    <t xml:space="preserve">% of Bytecode Contracts</t>
  </si>
  <si>
    <t xml:space="preserve">0 categories flagged</t>
  </si>
  <si>
    <t xml:space="preserve">1 categories flagged</t>
  </si>
  <si>
    <t xml:space="preserve">2 categories flagged</t>
  </si>
  <si>
    <t xml:space="preserve">3 categories flagged</t>
  </si>
  <si>
    <t xml:space="preserve">Total contracts w/ bytecode</t>
  </si>
  <si>
    <t xml:space="preserve">Total raw detections (sum across all 11 categories)</t>
  </si>
  <si>
    <t xml:space="preserve">Avg detections per bytecode-resolved contract</t>
  </si>
  <si>
    <t xml:space="preserve">LayerZero — Tool-wise Analysis</t>
  </si>
  <si>
    <t xml:space="preserve">Tool</t>
  </si>
  <si>
    <t xml:space="preserve">Categories Covered</t>
  </si>
  <si>
    <t xml:space="preserve">Contracts Flagged</t>
  </si>
  <si>
    <t xml:space="preserve">Flag Rate %</t>
  </si>
  <si>
    <t xml:space="preserve">Locked Ether, Ether Leak</t>
  </si>
  <si>
    <t xml:space="preserve">Symbolic execution, financial-flow analysis</t>
  </si>
  <si>
    <t xml:space="preserve">Bytecode symbolic execution</t>
  </si>
  <si>
    <t xml:space="preserve">Others (n/a)</t>
  </si>
  <si>
    <t xml:space="preserve">Reentrancy, Access Control, Delegatecall, Unchecked Call, Timestamp, TOD, DoS, Selfdestruct</t>
  </si>
  <si>
    <t xml:space="preserve">Zero detections in this run</t>
  </si>
  <si>
    <t xml:space="preserve">LayerZero — Contract-Level Statistics</t>
  </si>
  <si>
    <t xml:space="preserve">Addresses queried</t>
  </si>
  <si>
    <t xml:space="preserve">Chains covered</t>
  </si>
  <si>
    <t xml:space="preserve">Contracts analyzed (bytecode resolved / detection ran)</t>
  </si>
  <si>
    <t xml:space="preserve">Not analyzed (EOA / unverified / not found)</t>
  </si>
  <si>
    <t xml:space="preserve">...of which bytecode text is blank in source export</t>
  </si>
  <si>
    <t xml:space="preserve">Detections still recorded; only the raw bytecode string is missing from the export</t>
  </si>
  <si>
    <t xml:space="preserve">Avg bytecode length (hex chars, where text available)</t>
  </si>
  <si>
    <t xml:space="preserve">Rounded to nearest char; excludes blank-text rows</t>
  </si>
  <si>
    <t xml:space="preserve">Min bytecode length (where text available)</t>
  </si>
  <si>
    <t xml:space="preserve">Max bytecode length</t>
  </si>
  <si>
    <t xml:space="preserve">Per-Chain Breakdown</t>
  </si>
  <si>
    <t xml:space="preserve">Chain</t>
  </si>
  <si>
    <t xml:space="preserve">Addresses</t>
  </si>
  <si>
    <t xml:space="preserve">With Bytecode</t>
  </si>
  <si>
    <t xml:space="preserve">Vulnerable Rate %</t>
  </si>
  <si>
    <t xml:space="preserve">All (chain not encoded in address)</t>
  </si>
  <si>
    <t xml:space="preserve">LayerZero — Tool Agreement (Jaccard Index)</t>
  </si>
  <si>
    <t xml:space="preserve">Agreement between MAIAN and Mythril, among contracts with bytecode.</t>
  </si>
  <si>
    <t xml:space="preserve">Set</t>
  </si>
  <si>
    <t xml:space="preserve">Count</t>
  </si>
  <si>
    <t xml:space="preserve">Definition</t>
  </si>
  <si>
    <t xml:space="preserve">Both tools flag (A ∩ B)</t>
  </si>
  <si>
    <t xml:space="preserve">MAIAN AND Mythril</t>
  </si>
  <si>
    <t xml:space="preserve">Only MAIAN flags (A \ B)</t>
  </si>
  <si>
    <t xml:space="preserve">MAIAN only</t>
  </si>
  <si>
    <t xml:space="preserve">Only Mythril flags (B \ A)</t>
  </si>
  <si>
    <t xml:space="preserve">Mythril only</t>
  </si>
  <si>
    <t xml:space="preserve">Neither flags</t>
  </si>
  <si>
    <t xml:space="preserve">Resolved contract, no flag from either tool</t>
  </si>
  <si>
    <t xml:space="preserve">Union (A ∪ B)</t>
  </si>
  <si>
    <t xml:space="preserve">Jaccard Index J(A,B) = |A∩B| / |A∪B|</t>
  </si>
  <si>
    <t xml:space="preserve">LayerZero — Key Findings</t>
  </si>
  <si>
    <t xml:space="preserve">LayerZero — Why These Results: Forensic Explanation of the Detection Pattern</t>
  </si>
  <si>
    <t xml:space="preserve">Findings below are derived from direct inspection of the raw deployed bytecode (length, opcode counts, function-selector signatures) behind this protocol's CSV, not just the tool output.</t>
  </si>
  <si>
    <t xml:space="preserve">1. WHY THE ANALYZED RATE IS 81.8%</t>
  </si>
  <si>
    <t xml:space="preserve">Of 88 addresses queried for LayerZero, 72 (81.8%) resolved to a contract with recorded detection results. The remainder are addresses listed in the bridge's cross-chain registry that do not currently hold deployed bytecode on the chain they're paired with in the source data.</t>
  </si>
  <si>
    <t xml:space="preserve">This is a registry-completeness artifact, not a tool failure: cross-chain bridge protocols typically reserve or intend the SAME contract address across every supported chain (often via CREATE2 deterministic deployment), but do not necessarily deploy on all of them at the same time - some chains get the contract later, some never, and some registries list planned/future chains. A low analyzed rate signals partial rollout, not analysis error.</t>
  </si>
  <si>
    <t xml:space="preserve">2. PROXY-PATTERN CONTRACTS AND THEIR EFFECT ON DETECTION</t>
  </si>
  <si>
    <t xml:space="preserve">32 of 72 contracts with inspectable bytecode (44.4%) expose the classic UUPS/ERC-1967 upgradeable-proxy function selectors (upgradeTo, upgradeToAndCall, implementation) - meaning their bytecode is a thin delegatecall shell, with the real logic living in a separate implementation contract this analysis does not see.</t>
  </si>
  <si>
    <t xml:space="preserve">Vulnerable rate on these proxy-pattern contracts: 9.4% (3/32), versus 100.0% (40/40) on non-proxy contracts.</t>
  </si>
  <si>
    <t xml:space="preserve">Category breakdown on proxy contracts: Locked Ether: 3, Ether Leak: 3.</t>
  </si>
  <si>
    <t xml:space="preserve">This is the single largest driver of LayerZero's lower overall vulnerable rate (59.7%, versus ~100% for every other protocol in this dataset): its proxy contracts are almost entirely clean (9.4% flagged) because bytecode-level tools like Mythril and MAIAN cannot trace through a delegatecall into the implementation contract's actual logic - a proxy that just forwards calls has essentially no arithmetic or ether-handling code of its own to flag.</t>
  </si>
  <si>
    <t xml:space="preserve">3. WHY MAIAN FIRES MORE OFTEN THAN MYTHRIL</t>
  </si>
  <si>
    <t xml:space="preserve">In this protocol, MAIAN's flag rate (59.7%) is higher than Mythril's (48.6%), with tool agreement (Jaccard) of 0.8140. This asymmetry appears consistently across all 5 protocols in this dataset and has two likely structural causes:</t>
  </si>
  <si>
    <t xml:space="preserve">(a) Mythril's Integer category targets classic integer overflow/underflow. Solidity &gt;=0.8.0 added automatic overflow/underflow reverts at the compiler level, so this entire bug class is largely closed off in modern contracts unless the code explicitly uses an `unchecked{}` block. Bridge contracts deployed in the last 2-3 years are predominantly 0.8.x, which suppresses Mythril's hit rate by design, not by absence of scrutiny.</t>
  </si>
  <si>
    <t xml:space="preserve">(b) MAIAN's Locked_Ether/Ether_Leak checks flag any contract that can receive ETH but lacks a statically-provable unconditional withdrawal path. Bridge contracts almost always accept native-token value (bridging fees, wrapped-native deposits) and almost never expose a simple public withdraw() - value moves through multi-step, permissioned, or cross-contract release logic that MAIAN's local analysis cannot fully trace. This makes MAIAN's categories structurally prone to firing on this entire class of contract, independent of whether a real fund-locking bug exists.</t>
  </si>
  <si>
    <t xml:space="preserve">4. WHY "ETHER LEAK" IS THE TOP CATEGORY HERE</t>
  </si>
  <si>
    <t xml:space="preserve">Ether Leak has the highest prevalence in LayerZero at 59.7%, driven by MAIAN. Given point 3 above, this is expected: Ether Leak is one of MAIAN's two categories, and MAIAN is structurally the most trigger-happy tool on payable, non-trivial-withdrawal-path contracts like bridge routers/relayers.</t>
  </si>
  <si>
    <t xml:space="preserve">5. BYTECODE SIZE AS A ROUGH COMPLEXITY SIGNAL</t>
  </si>
  <si>
    <t xml:space="preserve">Bytecode text available for LayerZero: 72 contracts, ranging from 2,498 to 189,634 hex characters (median 22,022). Average CALLVALUE (opcode 0x34) occurrences per contract: 20.6, consistent with these being value-handling contracts by design rather than pure view/logic code.</t>
  </si>
  <si>
    <t xml:space="preserve">SUMMARY</t>
  </si>
  <si>
    <t xml:space="preserve">LayerZero's 59.7% vulnerable rate - the only sub-100% result in this dataset - is best explained by its unusually high share of proxy-pattern contracts (44.4% of analyzed contracts) that bytecode-level analysis structurally cannot see through, not by LayerZero's logic being more secure than the other four protocols.</t>
  </si>
  <si>
    <t xml:space="preserve">Address</t>
  </si>
  <si>
    <t xml:space="preserve">Has_Bytecode</t>
  </si>
  <si>
    <t xml:space="preserve">Bytecode_Length</t>
  </si>
  <si>
    <t xml:space="preserve">Access_Control</t>
  </si>
  <si>
    <t xml:space="preserve">Unchecked_Call</t>
  </si>
  <si>
    <t xml:space="preserve">Locked_Ether</t>
  </si>
  <si>
    <t xml:space="preserve">Ether_Leak</t>
  </si>
  <si>
    <t xml:space="preserve">Vulnerable</t>
  </si>
  <si>
    <t xml:space="preserve">MAIAN_Flag</t>
  </si>
  <si>
    <t xml:space="preserve">Mythril_Flag</t>
  </si>
  <si>
    <t xml:space="preserve">0x0171830E6C8d7f28cbE35A2045919a415B04a5fF</t>
  </si>
  <si>
    <t xml:space="preserve">Yes</t>
  </si>
  <si>
    <t xml:space="preserve">0x0408804C5dcD9796F22558464E6fE5bDdF16A7c7</t>
  </si>
  <si>
    <t xml:space="preserve">No</t>
  </si>
  <si>
    <t xml:space="preserve">0x05B52859Adb077a7b7D6277a512aEfEFbaDDc9C8</t>
  </si>
  <si>
    <t xml:space="preserve">0x068EC1f0bd53cf86923BbB0986046be6af3f5922</t>
  </si>
  <si>
    <t xml:space="preserve">0x06e56abD0cb3C88880644bA3C534A498cA18E5C8</t>
  </si>
  <si>
    <t xml:space="preserve">0x14a6A3d612A04225df4825A365688F33DA4969De</t>
  </si>
  <si>
    <t xml:space="preserve">0x1641D737e97916f1400CB6BA032eceE765484D9C</t>
  </si>
  <si>
    <t xml:space="preserve">0x166CAb679EBDB0853055522D3B523621b94029a1</t>
  </si>
  <si>
    <t xml:space="preserve">0x173272739Bd7Aa6e4e214714048a9fE699453059</t>
  </si>
  <si>
    <t xml:space="preserve">0x1BAcC2205312534375c8d1801C27D28370656cFf</t>
  </si>
  <si>
    <t xml:space="preserve">0x1Bef2d7C5c60fD826Cc1b1f29cA357Af2d0Ae2c6</t>
  </si>
  <si>
    <t xml:space="preserve">0x1E1E9A04735B9ca509eF8a46255f5104C10C6e99</t>
  </si>
  <si>
    <t xml:space="preserve">0x1b368a0d7c57080a01054862114B5a42e54CBb98</t>
  </si>
  <si>
    <t xml:space="preserve">0x1ccBf0db9C192d969de57E25B3fF09A25bb1D862</t>
  </si>
  <si>
    <t xml:space="preserve">0x1dDbaF8b75F2291A97C22428afEf411b7bB19e28</t>
  </si>
  <si>
    <t xml:space="preserve">0x24D7ff228a81e827Efc29ec45E7b30a99B96C653</t>
  </si>
  <si>
    <t xml:space="preserve">0x28eEE23B2b6C5582112037FD43A4d8C359F54D4D</t>
  </si>
  <si>
    <t xml:space="preserve">0x2B79f3C2EE059E465a24bf5A2F4FE989546053B1</t>
  </si>
  <si>
    <t xml:space="preserve">0x2F0788fFbf8fCa58B2ea10c05F0CA9931ffC8978</t>
  </si>
  <si>
    <t xml:space="preserve">0x2F4C6eeA955e95e6d65E08620D980C0e0e92211F</t>
  </si>
  <si>
    <t xml:space="preserve">0x2F64656569c098fdfb0bD0ab2f3616005E295810</t>
  </si>
  <si>
    <t xml:space="preserve">0x2c83731aa397cd8E6bF8C77d9090b8845581d08c</t>
  </si>
  <si>
    <t xml:space="preserve">0x2e2AF282E98bfADed5dd6EC51c7240D818DDBBD9</t>
  </si>
  <si>
    <t xml:space="preserve">0x30F776548f9Aaad0935E2c03e930d10F15cE558f</t>
  </si>
  <si>
    <t xml:space="preserve">0x31CAe3B7fB82d847621859fb1585353c5720660D</t>
  </si>
  <si>
    <t xml:space="preserve">0x32042142DD551b4EbE17B6FEd53131dd4b4eEa06</t>
  </si>
  <si>
    <t xml:space="preserve">0x3258287147FB7887d8A643006e26E19368057377</t>
  </si>
  <si>
    <t xml:space="preserve">0x377530cdA84DFb2673bF4d145DCF0C4D7fdcB5b6</t>
  </si>
  <si>
    <t xml:space="preserve">0x38340337f9ADF5D76029Ab3A667d34E5a032F7BA</t>
  </si>
  <si>
    <t xml:space="preserve">0x3C156b1f625D2B4E004D43E91aC2c3a719C29c7B</t>
  </si>
  <si>
    <t xml:space="preserve">0x3b4453D9e884dA5A8C917Ab7679D66c92069e7F7</t>
  </si>
  <si>
    <t xml:space="preserve">0x42b4E9C6495B4cFDaE024B1eC32E09F28027620e</t>
  </si>
  <si>
    <t xml:space="preserve">0x43CFcc293CdF99F7D021F21FfD443f174AB0e843</t>
  </si>
  <si>
    <t xml:space="preserve">0x44289609cc6781fa2C665796b6c5AAbf9FFceDC5</t>
  </si>
  <si>
    <t xml:space="preserve">0x4E341b9Cf90514A5b7dfec2c9A1f20AA4514C260</t>
  </si>
  <si>
    <t xml:space="preserve">0x4Fc3f4A38Acd6E4cC0ccBc04B3Dd1CCAeFd7F3Cd</t>
  </si>
  <si>
    <t xml:space="preserve">0x52fFEeaE5Ffa89D4b31c72F87ead3699FCB79e40</t>
  </si>
  <si>
    <t xml:space="preserve">0x5440E2097C41F8e0a8551521d569c71de70fDe23</t>
  </si>
  <si>
    <t xml:space="preserve">0x552661d1C85F256E008eE2315103c80fd1E298DF</t>
  </si>
  <si>
    <t xml:space="preserve">0x59dAE6516D2fA7F21195adC0Cda14d819D21031C</t>
  </si>
  <si>
    <t xml:space="preserve">0x643E1471f37c4680Df30cF0C540Cd379a0fF58A5</t>
  </si>
  <si>
    <t xml:space="preserve">0x6862dEd20594DA16B7cbB282894FaE23043A32BC</t>
  </si>
  <si>
    <t xml:space="preserve">0x6A6991E0bF27E3CcCDe6B73dE94b7DA6e240FF6E</t>
  </si>
  <si>
    <t xml:space="preserve">0x6A6C548058094e6dFaF95Bb0b5d04e1dd8ec0870</t>
  </si>
  <si>
    <t xml:space="preserve">0x6c26c61a97006888ea9E4FA36584c7df57Cd9dA3</t>
  </si>
  <si>
    <t xml:space="preserve">0x6c47E59BC0600942146BF37668fc92b369C85ab7</t>
  </si>
  <si>
    <t xml:space="preserve">0x73Dd395E80A2dD6D88dB11E69f15d534D182F019</t>
  </si>
  <si>
    <t xml:space="preserve">0x747C741496a507E4B404b50463e691A8d692f6Ac</t>
  </si>
  <si>
    <t xml:space="preserve">0x74F55Bc2a79A27A0bF1D1A35dB5d0Fc36b9FDB9D</t>
  </si>
  <si>
    <t xml:space="preserve">0x758C419533ad64Ce9D3413BC8d3A97B026098EC1</t>
  </si>
  <si>
    <t xml:space="preserve">0x7B9E184e07a6EE1aC23eAe0fe8D6Be2f663f05e6</t>
  </si>
  <si>
    <t xml:space="preserve">0x860E8D714944E7accE4F9e6247923ec5d30c0471</t>
  </si>
  <si>
    <t xml:space="preserve">0x87794d2f64e076694a153aFdb12cA62eb9C2ea5B</t>
  </si>
  <si>
    <t xml:space="preserve">0x8FAFC84cAeA1Cef8475cb5CB344658D160c9CE0b</t>
  </si>
  <si>
    <t xml:space="preserve">0x8a893567f27893e6E0c7b6bba8769d9ab3E911Ff</t>
  </si>
  <si>
    <t xml:space="preserve">0x8bC1e36F015b9902B54b1387A4d733cebc2f5A4e</t>
  </si>
  <si>
    <t xml:space="preserve">0x8da6512De9379fBF4F09BF520Caf7a85435ed93e</t>
  </si>
  <si>
    <t xml:space="preserve">0x9714Ccf1dedeF14BaB5013625DB92746C1358cb4</t>
  </si>
  <si>
    <t xml:space="preserve">0x975bcD720be66659e3EB3C0e4F1866a3020E493A</t>
  </si>
  <si>
    <t xml:space="preserve">0x9BbEb2B2184B9313Cf5ed4a4DDFEa2ef62a2a03B</t>
  </si>
  <si>
    <t xml:space="preserve">0x9C061c9A4782294eeF65ef28Cb88233A987F4bdD</t>
  </si>
  <si>
    <t xml:space="preserve">0x9c9e25F9fC4e8134313C2a9f5c719f5c9F4fbD95</t>
  </si>
  <si>
    <t xml:space="preserve">0x9d799c1935c51CA399e6465Ed9841DEbCcEc413E</t>
  </si>
  <si>
    <t xml:space="preserve">0xA79c7375fE2B68F56825C221e5Ea9fBbB5d42EDC</t>
  </si>
  <si>
    <t xml:space="preserve">0xACbD57daAafb7D9798992A7b0382fc67d3E316f3</t>
  </si>
  <si>
    <t xml:space="preserve">0xDa9B06132Dd3B5CdA3cAb2d1516038A8625fef08</t>
  </si>
  <si>
    <t xml:space="preserve">0xE22ED54177CE1148C557de74E4873619e6c6b205</t>
  </si>
  <si>
    <t xml:space="preserve">0xEC0906949f88f72bF9206E84764163e24a56a499</t>
  </si>
  <si>
    <t xml:space="preserve">0xa20DB4Ffe74A31D17fc24BD32a7DD7555441058e</t>
  </si>
  <si>
    <t xml:space="preserve">0xaDDed4478B423d991C21E525Cd3638FBce1AaD17</t>
  </si>
  <si>
    <t xml:space="preserve">0xbB2Ea70C9E858123480642Cf96acbcCE1372dCe1</t>
  </si>
  <si>
    <t xml:space="preserve">0xbBDd27544348636a3FeBe51Df7531Cc1726f3c8B</t>
  </si>
  <si>
    <t xml:space="preserve">0xbF2E102Fb382d6EC52823C8F81A45e9Caa951320</t>
  </si>
  <si>
    <t xml:space="preserve">0xbcd4CADCac3F767C57c4F402932C4705DF62BEFf</t>
  </si>
  <si>
    <t xml:space="preserve">0xc02Ab410f0734EFa3F14628780e6e695156024C2</t>
  </si>
  <si>
    <t xml:space="preserve">0xc1B621b18187F74c8F6D52a6F709Dd2780C09821</t>
  </si>
  <si>
    <t xml:space="preserve">0xc214d690031d3F873365f94d381D6D50c35AA7FA</t>
  </si>
  <si>
    <t xml:space="preserve">0xc30Ff4F3182A75C0bE27493fA357886c06c384b6</t>
  </si>
  <si>
    <t xml:space="preserve">0xc67f8f84d00A4908581B235F1Abe0FE3aFC8126F</t>
  </si>
  <si>
    <t xml:space="preserve">0xcCE466a522984415bC91338c232d98869193D46e</t>
  </si>
  <si>
    <t xml:space="preserve">0xd0a9ec7544106258c5836121fA032AE65c83f99B</t>
  </si>
  <si>
    <t xml:space="preserve">0xde19274c009A22921E3966a1Ec868cEba40A5DaC</t>
  </si>
  <si>
    <t xml:space="preserve">0xe25741bda30bb79a66ADf656E7f2D3f0C4fb3191</t>
  </si>
  <si>
    <t xml:space="preserve">0xe57308A83D94276C27232189Db8BdE8E2FFe41a3</t>
  </si>
  <si>
    <t xml:space="preserve">0xe70cA542A9f2D932aD34efE3a681D83828452666</t>
  </si>
  <si>
    <t xml:space="preserve">0xe8BAa65CeD8E46DA43520375Af6fAbC31D7bCb8B</t>
  </si>
  <si>
    <t xml:space="preserve">0xeac136456d078bB76f59DCcb2d5E008b31AfE1cF</t>
  </si>
  <si>
    <t xml:space="preserve">0xf772581dcf3300914D6222C4e6FcF0ed5EF93142</t>
  </si>
</sst>
</file>

<file path=xl/styles.xml><?xml version="1.0" encoding="utf-8"?>
<styleSheet xmlns="http://schemas.openxmlformats.org/spreadsheetml/2006/main">
  <numFmts count="5">
    <numFmt numFmtId="164" formatCode="General"/>
    <numFmt numFmtId="165" formatCode="0.00%"/>
    <numFmt numFmtId="166" formatCode="0.00"/>
    <numFmt numFmtId="167" formatCode="0.0"/>
    <numFmt numFmtId="168" formatCode="0.0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name val="Arial"/>
      <family val="0"/>
      <charset val="1"/>
    </font>
    <font>
      <sz val="11"/>
      <name val="Arial"/>
      <family val="0"/>
      <charset val="1"/>
    </font>
    <font>
      <b val="true"/>
      <sz val="11"/>
      <color rgb="FFFFFFFF"/>
      <name val="Arial"/>
      <family val="0"/>
      <charset val="1"/>
    </font>
    <font>
      <sz val="10"/>
      <name val="Arial"/>
      <family val="0"/>
      <charset val="1"/>
    </font>
    <font>
      <b val="true"/>
      <sz val="13"/>
      <name val="Arial"/>
      <family val="0"/>
      <charset val="1"/>
    </font>
    <font>
      <i val="true"/>
      <sz val="9"/>
      <name val="Arial"/>
      <family val="0"/>
      <charset val="1"/>
    </font>
    <font>
      <b val="true"/>
      <sz val="11"/>
      <name val="Arial"/>
      <family val="0"/>
      <charset val="1"/>
    </font>
    <font>
      <sz val="9"/>
      <name val="Arial"/>
      <family val="0"/>
      <charset val="1"/>
    </font>
    <font>
      <i val="true"/>
      <sz val="11"/>
      <name val="Arial"/>
      <family val="0"/>
      <charset val="1"/>
    </font>
  </fonts>
  <fills count="5">
    <fill>
      <patternFill patternType="none"/>
    </fill>
    <fill>
      <patternFill patternType="gray125"/>
    </fill>
    <fill>
      <patternFill patternType="solid">
        <fgColor rgb="FFD9E1F2"/>
        <bgColor rgb="FFCCFFFF"/>
      </patternFill>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s>
  <sheetData>
    <row r="1" customFormat="false" ht="19.5" hidden="false" customHeight="true" outlineLevel="0" collapsed="false">
      <c r="A1" s="2" t="s">
        <v>0</v>
      </c>
    </row>
    <row r="3" customFormat="false" ht="15.75" hidden="false" customHeight="true" outlineLevel="0" collapsed="false">
      <c r="A3" s="3" t="s">
        <v>1</v>
      </c>
    </row>
    <row r="4" customFormat="false" ht="15" hidden="false" customHeight="true" outlineLevel="0" collapsed="false">
      <c r="A4" s="4" t="str">
        <f aca="false">"Addresses queried: "&amp;COUNTA(Data!A2:A89)&amp;"  |  Chains covered: 1"</f>
        <v>Addresses queried: 88  |  Chains covered: 1</v>
      </c>
    </row>
    <row r="5" customFormat="false" ht="15" hidden="false" customHeight="true" outlineLevel="0" collapsed="false">
      <c r="A5" s="4" t="str">
        <f aca="false">"Contracts with resolved bytecode: "&amp;SUM(Data!C2:C89)&amp;"  |  No bytecode (EOA/unverified): "&amp;(COUNTA(Data!A2:A89)-SUM(Data!C2:C89))</f>
        <v>Contracts with resolved bytecode: 72  |  No bytecode (EOA/unverified): 16</v>
      </c>
    </row>
    <row r="6" customFormat="false" ht="15" hidden="false" customHeight="true" outlineLevel="0" collapsed="false">
      <c r="A6" s="4" t="str">
        <f aca="false">"Overall vulnerable (&gt;=1 tool): "&amp;TEXT(Per_Vulnerability_Analysis!C15/Per_Vulnerability_Analysis!D15,"0.0%")&amp;" of resolved contracts ("&amp;Per_Vulnerability_Analysis!C15&amp;"/"&amp;Per_Vulnerability_Analysis!D15&amp;")"</f>
        <v>Overall vulnerable (&gt;=1 tool): 59.7% of resolved contracts (43/72)</v>
      </c>
    </row>
    <row r="7" customFormat="false" ht="15" hidden="false" customHeight="true" outlineLevel="0" collapsed="false">
      <c r="A7" s="4" t="str">
        <f aca="false">"MAIAN flag rate: "&amp;TEXT(Tool_Wise_Analysis!E4,"0.0%")</f>
        <v>MAIAN flag rate: 59.7%</v>
      </c>
    </row>
    <row r="8" customFormat="false" ht="15" hidden="false" customHeight="true" outlineLevel="0" collapsed="false">
      <c r="A8" s="4" t="str">
        <f aca="false">"Mythril flag rate: "&amp;TEXT(Tool_Wise_Analysis!E5,"0.0%")</f>
        <v>Mythril flag rate: 48.6%</v>
      </c>
    </row>
    <row r="9" customFormat="false" ht="15" hidden="false" customHeight="true" outlineLevel="0" collapsed="false">
      <c r="A9" s="4" t="str">
        <f aca="false">"Tool agreement (Jaccard, MAIAN vs Mythril): "&amp;TEXT(Agreement_Jaccard!B11,"0.0000")</f>
        <v>Tool agreement (Jaccard, MAIAN vs Mythril): 0.8140</v>
      </c>
    </row>
    <row r="11" customFormat="false" ht="15.75" hidden="false" customHeight="true" outlineLevel="0" collapsed="false">
      <c r="A11" s="3" t="s">
        <v>2</v>
      </c>
    </row>
    <row r="12" customFormat="false" ht="15" hidden="false" customHeight="true" outlineLevel="0" collapsed="false">
      <c r="A12" s="4" t="str">
        <f aca="false">"Highest-prevalence category: "&amp;INDEX(Per_Vulnerability_Analysis!A5:A14,MATCH(MAX(Per_Vulnerability_Analysis!C5:C14),Per_Vulnerability_Analysis!C5:C14,0))&amp;" ("&amp;TEXT(MAX(Per_Vulnerability_Analysis!E5:E14),"0.0%")&amp;" prevalence)"</f>
        <v>Highest-prevalence category: Ether Leak (59.7% prevalence)</v>
      </c>
    </row>
    <row r="13" customFormat="false" ht="15" hidden="false" customHeight="true" outlineLevel="0" collapsed="false">
      <c r="A13" s="4" t="str">
        <f aca="false">"Only MAIAN and Mythril returned detections in this run; 8 of 11 tracked categories show zero hits — see Formula_Definitions / Per_Vulnerability_Analysis."</f>
        <v>Only MAIAN and Mythril returned detections in this run; 8 of 11 tracked categories show zero hits — see Formula_Definitions / Per_Vulnerability_Analysis.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3" min="2" style="1" width="48"/>
  </cols>
  <sheetData>
    <row r="1" customFormat="false" ht="15" hidden="false" customHeight="true" outlineLevel="0" collapsed="false">
      <c r="A1" s="5" t="s">
        <v>3</v>
      </c>
      <c r="B1" s="5" t="s">
        <v>4</v>
      </c>
      <c r="C1" s="5" t="s">
        <v>5</v>
      </c>
    </row>
    <row r="2" customFormat="false" ht="23.25" hidden="false" customHeight="true" outlineLevel="0" collapsed="false">
      <c r="A2" s="6" t="s">
        <v>6</v>
      </c>
      <c r="B2" s="6" t="s">
        <v>7</v>
      </c>
      <c r="C2" s="6" t="s">
        <v>8</v>
      </c>
    </row>
    <row r="3" customFormat="false" ht="23.25" hidden="false" customHeight="true" outlineLevel="0" collapsed="false">
      <c r="A3" s="6" t="s">
        <v>9</v>
      </c>
      <c r="B3" s="6" t="s">
        <v>10</v>
      </c>
      <c r="C3" s="6" t="s">
        <v>11</v>
      </c>
    </row>
    <row r="4" customFormat="false" ht="15" hidden="false" customHeight="true" outlineLevel="0" collapsed="false">
      <c r="A4" s="6" t="s">
        <v>12</v>
      </c>
      <c r="B4" s="6" t="s">
        <v>13</v>
      </c>
      <c r="C4" s="6" t="s">
        <v>14</v>
      </c>
    </row>
    <row r="5" customFormat="false" ht="15" hidden="false" customHeight="true" outlineLevel="0" collapsed="false">
      <c r="A5" s="6" t="s">
        <v>15</v>
      </c>
      <c r="B5" s="6" t="s">
        <v>16</v>
      </c>
      <c r="C5" s="6" t="s">
        <v>17</v>
      </c>
    </row>
    <row r="6" customFormat="false" ht="15" hidden="false" customHeight="true" outlineLevel="0" collapsed="false">
      <c r="A6" s="6" t="s">
        <v>18</v>
      </c>
      <c r="B6" s="6" t="s">
        <v>19</v>
      </c>
      <c r="C6" s="6" t="s">
        <v>20</v>
      </c>
    </row>
    <row r="7" customFormat="false" ht="15" hidden="false" customHeight="true" outlineLevel="0" collapsed="false">
      <c r="A7" s="6" t="s">
        <v>21</v>
      </c>
      <c r="B7" s="6" t="s">
        <v>22</v>
      </c>
      <c r="C7" s="6" t="s">
        <v>23</v>
      </c>
    </row>
    <row r="8" customFormat="false" ht="23.25" hidden="false" customHeight="true" outlineLevel="0" collapsed="false">
      <c r="A8" s="6" t="s">
        <v>24</v>
      </c>
      <c r="B8" s="6" t="s">
        <v>25</v>
      </c>
      <c r="C8" s="6" t="s">
        <v>26</v>
      </c>
    </row>
    <row r="9" customFormat="false" ht="15" hidden="false" customHeight="true" outlineLevel="0" collapsed="false">
      <c r="A9" s="6" t="s">
        <v>27</v>
      </c>
      <c r="B9" s="6" t="s">
        <v>28</v>
      </c>
      <c r="C9" s="6"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16"/>
    <col collapsed="false" customWidth="true" hidden="false" outlineLevel="0" max="4" min="4" style="1" width="20"/>
    <col collapsed="false" customWidth="true" hidden="false" outlineLevel="0" max="6" min="5" style="1" width="14"/>
    <col collapsed="false" customWidth="true" hidden="false" outlineLevel="0" max="7" min="7" style="1" width="42"/>
  </cols>
  <sheetData>
    <row r="1" customFormat="false" ht="15.75" hidden="false" customHeight="true" outlineLevel="0" collapsed="false">
      <c r="A1" s="7" t="s">
        <v>30</v>
      </c>
      <c r="B1" s="7"/>
      <c r="C1" s="7"/>
      <c r="D1" s="7"/>
      <c r="E1" s="7"/>
      <c r="F1" s="7"/>
    </row>
    <row r="3" customFormat="false" ht="26.25" hidden="false" customHeight="true" outlineLevel="0" collapsed="false">
      <c r="A3" s="8" t="s">
        <v>31</v>
      </c>
      <c r="B3" s="8" t="s">
        <v>32</v>
      </c>
      <c r="C3" s="8" t="s">
        <v>6</v>
      </c>
      <c r="D3" s="8" t="s">
        <v>9</v>
      </c>
      <c r="E3" s="8" t="s">
        <v>12</v>
      </c>
      <c r="F3" s="8" t="s">
        <v>33</v>
      </c>
    </row>
    <row r="4" customFormat="false" ht="15" hidden="false" customHeight="true" outlineLevel="0" collapsed="false">
      <c r="A4" s="9" t="s">
        <v>34</v>
      </c>
      <c r="B4" s="9" t="s">
        <v>35</v>
      </c>
      <c r="C4" s="9" t="n">
        <f aca="false">COUNTIF(Data!E2:E89,"&lt;&gt;")</f>
        <v>0</v>
      </c>
      <c r="D4" s="9" t="n">
        <f aca="false">SUM(Data!C2:C89)</f>
        <v>72</v>
      </c>
      <c r="E4" s="10" t="n">
        <f aca="false">IF(D4=0,0,C4/D4)</f>
        <v>0</v>
      </c>
      <c r="F4" s="11" t="s">
        <v>36</v>
      </c>
    </row>
    <row r="5" customFormat="false" ht="15" hidden="false" customHeight="true" outlineLevel="0" collapsed="false">
      <c r="A5" s="9" t="s">
        <v>37</v>
      </c>
      <c r="B5" s="9" t="s">
        <v>38</v>
      </c>
      <c r="C5" s="9" t="n">
        <f aca="false">COUNTIF(Data!F2:F89,"&lt;&gt;")</f>
        <v>35</v>
      </c>
      <c r="D5" s="9" t="n">
        <f aca="false">SUM(Data!C2:C89)</f>
        <v>72</v>
      </c>
      <c r="E5" s="10" t="n">
        <f aca="false">IF(D5=0,0,C5/D5)</f>
        <v>0.486111111111111</v>
      </c>
      <c r="F5" s="11" t="s">
        <v>39</v>
      </c>
    </row>
    <row r="6" customFormat="false" ht="15" hidden="false" customHeight="true" outlineLevel="0" collapsed="false">
      <c r="A6" s="9" t="s">
        <v>40</v>
      </c>
      <c r="B6" s="9" t="s">
        <v>35</v>
      </c>
      <c r="C6" s="9" t="n">
        <f aca="false">COUNTIF(Data!G2:G89,"&lt;&gt;")</f>
        <v>0</v>
      </c>
      <c r="D6" s="9" t="n">
        <f aca="false">SUM(Data!C2:C89)</f>
        <v>72</v>
      </c>
      <c r="E6" s="10" t="n">
        <f aca="false">IF(D6=0,0,C6/D6)</f>
        <v>0</v>
      </c>
      <c r="F6" s="11" t="s">
        <v>36</v>
      </c>
    </row>
    <row r="7" customFormat="false" ht="15" hidden="false" customHeight="true" outlineLevel="0" collapsed="false">
      <c r="A7" s="9" t="s">
        <v>41</v>
      </c>
      <c r="B7" s="9" t="s">
        <v>35</v>
      </c>
      <c r="C7" s="9" t="n">
        <f aca="false">COUNTIF(Data!H2:H89,"&lt;&gt;")</f>
        <v>0</v>
      </c>
      <c r="D7" s="9" t="n">
        <f aca="false">SUM(Data!C2:C89)</f>
        <v>72</v>
      </c>
      <c r="E7" s="10" t="n">
        <f aca="false">IF(D7=0,0,C7/D7)</f>
        <v>0</v>
      </c>
      <c r="F7" s="11" t="s">
        <v>36</v>
      </c>
    </row>
    <row r="8" customFormat="false" ht="15" hidden="false" customHeight="true" outlineLevel="0" collapsed="false">
      <c r="A8" s="9" t="s">
        <v>42</v>
      </c>
      <c r="B8" s="9" t="s">
        <v>35</v>
      </c>
      <c r="C8" s="9" t="n">
        <f aca="false">COUNTIF(Data!I2:I89,"&lt;&gt;")</f>
        <v>0</v>
      </c>
      <c r="D8" s="9" t="n">
        <f aca="false">SUM(Data!C2:C89)</f>
        <v>72</v>
      </c>
      <c r="E8" s="10" t="n">
        <f aca="false">IF(D8=0,0,C8/D8)</f>
        <v>0</v>
      </c>
      <c r="F8" s="11" t="s">
        <v>36</v>
      </c>
    </row>
    <row r="9" customFormat="false" ht="15" hidden="false" customHeight="true" outlineLevel="0" collapsed="false">
      <c r="A9" s="9" t="s">
        <v>43</v>
      </c>
      <c r="B9" s="9" t="s">
        <v>35</v>
      </c>
      <c r="C9" s="9" t="n">
        <f aca="false">COUNTIF(Data!J2:J89,"&lt;&gt;")</f>
        <v>0</v>
      </c>
      <c r="D9" s="9" t="n">
        <f aca="false">SUM(Data!C2:C89)</f>
        <v>72</v>
      </c>
      <c r="E9" s="10" t="n">
        <f aca="false">IF(D9=0,0,C9/D9)</f>
        <v>0</v>
      </c>
      <c r="F9" s="11" t="s">
        <v>36</v>
      </c>
    </row>
    <row r="10" customFormat="false" ht="15" hidden="false" customHeight="true" outlineLevel="0" collapsed="false">
      <c r="A10" s="9" t="s">
        <v>44</v>
      </c>
      <c r="B10" s="9" t="s">
        <v>35</v>
      </c>
      <c r="C10" s="9" t="n">
        <f aca="false">COUNTIF(Data!K2:K89,"&lt;&gt;")</f>
        <v>0</v>
      </c>
      <c r="D10" s="9" t="n">
        <f aca="false">SUM(Data!C2:C89)</f>
        <v>72</v>
      </c>
      <c r="E10" s="10" t="n">
        <f aca="false">IF(D10=0,0,C10/D10)</f>
        <v>0</v>
      </c>
      <c r="F10" s="11" t="s">
        <v>36</v>
      </c>
    </row>
    <row r="11" customFormat="false" ht="15" hidden="false" customHeight="true" outlineLevel="0" collapsed="false">
      <c r="A11" s="9" t="s">
        <v>45</v>
      </c>
      <c r="B11" s="9" t="s">
        <v>35</v>
      </c>
      <c r="C11" s="9" t="n">
        <f aca="false">COUNTIF(Data!L2:L89,"&lt;&gt;")</f>
        <v>0</v>
      </c>
      <c r="D11" s="9" t="n">
        <f aca="false">SUM(Data!C2:C89)</f>
        <v>72</v>
      </c>
      <c r="E11" s="10" t="n">
        <f aca="false">IF(D11=0,0,C11/D11)</f>
        <v>0</v>
      </c>
      <c r="F11" s="11" t="s">
        <v>36</v>
      </c>
    </row>
    <row r="12" customFormat="false" ht="15" hidden="false" customHeight="true" outlineLevel="0" collapsed="false">
      <c r="A12" s="9" t="s">
        <v>46</v>
      </c>
      <c r="B12" s="9" t="s">
        <v>35</v>
      </c>
      <c r="C12" s="9" t="n">
        <f aca="false">COUNTIF(Data!M2:M89,"&lt;&gt;")</f>
        <v>0</v>
      </c>
      <c r="D12" s="9" t="n">
        <f aca="false">SUM(Data!C2:C89)</f>
        <v>72</v>
      </c>
      <c r="E12" s="10" t="n">
        <f aca="false">IF(D12=0,0,C12/D12)</f>
        <v>0</v>
      </c>
      <c r="F12" s="11" t="s">
        <v>36</v>
      </c>
    </row>
    <row r="13" customFormat="false" ht="15" hidden="false" customHeight="true" outlineLevel="0" collapsed="false">
      <c r="A13" s="9" t="s">
        <v>47</v>
      </c>
      <c r="B13" s="9" t="s">
        <v>48</v>
      </c>
      <c r="C13" s="9" t="n">
        <f aca="false">COUNTIF(Data!N2:N89,"&lt;&gt;")</f>
        <v>32</v>
      </c>
      <c r="D13" s="9" t="n">
        <f aca="false">SUM(Data!C2:C89)</f>
        <v>72</v>
      </c>
      <c r="E13" s="10" t="n">
        <f aca="false">IF(D13=0,0,C13/D13)</f>
        <v>0.444444444444444</v>
      </c>
      <c r="F13" s="11" t="s">
        <v>39</v>
      </c>
    </row>
    <row r="14" customFormat="false" ht="15" hidden="false" customHeight="true" outlineLevel="0" collapsed="false">
      <c r="A14" s="9" t="s">
        <v>49</v>
      </c>
      <c r="B14" s="9" t="s">
        <v>48</v>
      </c>
      <c r="C14" s="9" t="n">
        <f aca="false">COUNTIF(Data!O2:O89,"&lt;&gt;")</f>
        <v>43</v>
      </c>
      <c r="D14" s="9" t="n">
        <f aca="false">SUM(Data!C2:C89)</f>
        <v>72</v>
      </c>
      <c r="E14" s="10" t="n">
        <f aca="false">IF(D14=0,0,C14/D14)</f>
        <v>0.597222222222222</v>
      </c>
      <c r="F14" s="11" t="s">
        <v>39</v>
      </c>
    </row>
    <row r="15" customFormat="false" ht="15" hidden="false" customHeight="true" outlineLevel="0" collapsed="false">
      <c r="A15" s="12" t="s">
        <v>50</v>
      </c>
      <c r="B15" s="12" t="s">
        <v>51</v>
      </c>
      <c r="C15" s="12" t="n">
        <f aca="false">COUNTIFS(Data!C2:C89,1,Data!P2:P89,"Yes")</f>
        <v>43</v>
      </c>
      <c r="D15" s="12" t="n">
        <f aca="false">SUM(Data!C2:C89)</f>
        <v>72</v>
      </c>
      <c r="E15" s="13" t="n">
        <f aca="false">IF(D15=0,0,C15/D15)</f>
        <v>0.597222222222222</v>
      </c>
      <c r="F15" s="14" t="s">
        <v>52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53</v>
      </c>
      <c r="B1" s="7"/>
      <c r="C1" s="7"/>
      <c r="D1" s="7"/>
    </row>
    <row r="3" customFormat="false" ht="15" hidden="false" customHeight="true" outlineLevel="0" collapsed="false">
      <c r="A3" s="15" t="s">
        <v>54</v>
      </c>
      <c r="B3" s="15"/>
      <c r="C3" s="15"/>
      <c r="D3" s="15"/>
    </row>
    <row r="5" customFormat="false" ht="15" hidden="false" customHeight="true" outlineLevel="0" collapsed="false">
      <c r="A5" s="16" t="s">
        <v>18</v>
      </c>
      <c r="B5" s="16" t="s">
        <v>55</v>
      </c>
      <c r="C5" s="16" t="s">
        <v>56</v>
      </c>
      <c r="D5" s="16" t="s">
        <v>33</v>
      </c>
    </row>
    <row r="6" customFormat="false" ht="15" hidden="false" customHeight="true" outlineLevel="0" collapsed="false">
      <c r="A6" s="9" t="s">
        <v>57</v>
      </c>
      <c r="B6" s="9" t="n">
        <f aca="false">SUMPRODUCT((Data!C2:C89=1)*(((Data!F2:F89&lt;&gt;"")+(Data!N2:N89&lt;&gt;"")+(Data!O2:O89&lt;&gt;""))=0))</f>
        <v>29</v>
      </c>
      <c r="C6" s="10" t="n">
        <f aca="false">IF(SUM(Data!C2:C89)=0,0,B6/SUM(Data!C2:C89))</f>
        <v>0.402777777777778</v>
      </c>
      <c r="D6" s="17"/>
    </row>
    <row r="7" customFormat="false" ht="15" hidden="false" customHeight="true" outlineLevel="0" collapsed="false">
      <c r="A7" s="9" t="s">
        <v>58</v>
      </c>
      <c r="B7" s="9" t="n">
        <f aca="false">SUMPRODUCT((Data!C2:C89=1)*(((Data!F2:F89&lt;&gt;"")+(Data!N2:N89&lt;&gt;"")+(Data!O2:O89&lt;&gt;""))=1))</f>
        <v>0</v>
      </c>
      <c r="C7" s="10" t="n">
        <f aca="false">IF(SUM(Data!C2:C89)=0,0,B7/SUM(Data!C2:C89))</f>
        <v>0</v>
      </c>
      <c r="D7" s="17"/>
    </row>
    <row r="8" customFormat="false" ht="15" hidden="false" customHeight="true" outlineLevel="0" collapsed="false">
      <c r="A8" s="9" t="s">
        <v>59</v>
      </c>
      <c r="B8" s="9" t="n">
        <f aca="false">SUMPRODUCT((Data!C2:C89=1)*(((Data!F2:F89&lt;&gt;"")+(Data!N2:N89&lt;&gt;"")+(Data!O2:O89&lt;&gt;""))=2))</f>
        <v>19</v>
      </c>
      <c r="C8" s="10" t="n">
        <f aca="false">IF(SUM(Data!C2:C89)=0,0,B8/SUM(Data!C2:C89))</f>
        <v>0.263888888888889</v>
      </c>
      <c r="D8" s="17"/>
    </row>
    <row r="9" customFormat="false" ht="15" hidden="false" customHeight="true" outlineLevel="0" collapsed="false">
      <c r="A9" s="9" t="s">
        <v>60</v>
      </c>
      <c r="B9" s="9" t="n">
        <f aca="false">SUMPRODUCT((Data!C2:C89=1)*(((Data!F2:F89&lt;&gt;"")+(Data!N2:N89&lt;&gt;"")+(Data!O2:O89&lt;&gt;""))=3))</f>
        <v>24</v>
      </c>
      <c r="C9" s="10" t="n">
        <f aca="false">IF(SUM(Data!C2:C89)=0,0,B9/SUM(Data!C2:C89))</f>
        <v>0.333333333333333</v>
      </c>
      <c r="D9" s="17"/>
    </row>
    <row r="10" customFormat="false" ht="15" hidden="false" customHeight="true" outlineLevel="0" collapsed="false">
      <c r="A10" s="12" t="s">
        <v>61</v>
      </c>
      <c r="B10" s="12" t="n">
        <f aca="false">SUM(B6:B9)</f>
        <v>72</v>
      </c>
    </row>
    <row r="12" customFormat="false" ht="15" hidden="false" customHeight="true" outlineLevel="0" collapsed="false">
      <c r="A12" s="9" t="s">
        <v>62</v>
      </c>
      <c r="B12" s="9" t="n">
        <f aca="false">COUNTIF(Data!E2:E89,"&lt;&gt;")+COUNTIF(Data!F2:F89,"&lt;&gt;")+COUNTIF(Data!G2:G89,"&lt;&gt;")+COUNTIF(Data!H2:H89,"&lt;&gt;")+COUNTIF(Data!I2:I89,"&lt;&gt;")+COUNTIF(Data!J2:J89,"&lt;&gt;")+COUNTIF(Data!K2:K89,"&lt;&gt;")+COUNTIF(Data!L2:L89,"&lt;&gt;")+COUNTIF(Data!M2:M89,"&lt;&gt;")+COUNTIF(Data!N2:N89,"&lt;&gt;")+COUNTIF(Data!O2:O89,"&lt;&gt;")</f>
        <v>110</v>
      </c>
    </row>
    <row r="13" customFormat="false" ht="15" hidden="false" customHeight="true" outlineLevel="0" collapsed="false">
      <c r="A13" s="9" t="s">
        <v>63</v>
      </c>
      <c r="B13" s="18" t="n">
        <f aca="false">B12/SUM(Data!C2:C89)</f>
        <v>1.52777777777778</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6" min="3" style="1" width="16"/>
    <col collapsed="false" customWidth="true" hidden="false" outlineLevel="0" max="7" min="7" style="1" width="42"/>
  </cols>
  <sheetData>
    <row r="1" customFormat="false" ht="15.75" hidden="false" customHeight="true" outlineLevel="0" collapsed="false">
      <c r="A1" s="7" t="s">
        <v>64</v>
      </c>
      <c r="B1" s="7"/>
      <c r="C1" s="7"/>
      <c r="D1" s="7"/>
      <c r="E1" s="7"/>
      <c r="F1" s="7"/>
    </row>
    <row r="3" customFormat="false" ht="26.25" hidden="false" customHeight="true" outlineLevel="0" collapsed="false">
      <c r="A3" s="8" t="s">
        <v>65</v>
      </c>
      <c r="B3" s="8" t="s">
        <v>66</v>
      </c>
      <c r="C3" s="8" t="s">
        <v>67</v>
      </c>
      <c r="D3" s="8" t="s">
        <v>9</v>
      </c>
      <c r="E3" s="8" t="s">
        <v>68</v>
      </c>
      <c r="F3" s="8" t="s">
        <v>33</v>
      </c>
    </row>
    <row r="4" customFormat="false" ht="15" hidden="false" customHeight="true" outlineLevel="0" collapsed="false">
      <c r="A4" s="9" t="s">
        <v>48</v>
      </c>
      <c r="B4" s="9" t="s">
        <v>69</v>
      </c>
      <c r="C4" s="9" t="n">
        <f aca="false">SUM(Data!Q2:Q89)</f>
        <v>43</v>
      </c>
      <c r="D4" s="9" t="n">
        <f aca="false">SUM(Data!C2:C89)</f>
        <v>72</v>
      </c>
      <c r="E4" s="10" t="n">
        <f aca="false">IF(D4=0,0,C4/D4)</f>
        <v>0.597222222222222</v>
      </c>
      <c r="F4" s="11" t="s">
        <v>70</v>
      </c>
    </row>
    <row r="5" customFormat="false" ht="15" hidden="false" customHeight="true" outlineLevel="0" collapsed="false">
      <c r="A5" s="9" t="s">
        <v>38</v>
      </c>
      <c r="B5" s="9" t="s">
        <v>37</v>
      </c>
      <c r="C5" s="9" t="n">
        <f aca="false">SUM(Data!R2:R89)</f>
        <v>35</v>
      </c>
      <c r="D5" s="9" t="n">
        <f aca="false">SUM(Data!C2:C89)</f>
        <v>72</v>
      </c>
      <c r="E5" s="10" t="n">
        <f aca="false">IF(D5=0,0,C5/D5)</f>
        <v>0.486111111111111</v>
      </c>
      <c r="F5" s="11" t="s">
        <v>71</v>
      </c>
    </row>
    <row r="6" customFormat="false" ht="15" hidden="false" customHeight="true" outlineLevel="0" collapsed="false">
      <c r="A6" s="9" t="s">
        <v>72</v>
      </c>
      <c r="B6" s="19" t="s">
        <v>73</v>
      </c>
      <c r="C6" s="9" t="n">
        <v>0</v>
      </c>
      <c r="D6" s="9" t="n">
        <f aca="false">SUM(Data!C2:C89)</f>
        <v>72</v>
      </c>
      <c r="E6" s="10" t="n">
        <v>0</v>
      </c>
      <c r="F6" s="11" t="s">
        <v>74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8"/>
    <col collapsed="false" customWidth="true" hidden="false" outlineLevel="0" max="5" min="5" style="1" width="42"/>
  </cols>
  <sheetData>
    <row r="1" customFormat="false" ht="15.75" hidden="false" customHeight="true" outlineLevel="0" collapsed="false">
      <c r="A1" s="7" t="s">
        <v>75</v>
      </c>
      <c r="B1" s="7"/>
      <c r="C1" s="7"/>
      <c r="D1" s="7"/>
    </row>
    <row r="3" customFormat="false" ht="15" hidden="false" customHeight="true" outlineLevel="0" collapsed="false">
      <c r="A3" s="9" t="s">
        <v>76</v>
      </c>
      <c r="B3" s="9" t="n">
        <f aca="false">COUNTA(Data!A2:A89)</f>
        <v>88</v>
      </c>
      <c r="C3" s="17"/>
      <c r="D3" s="11"/>
    </row>
    <row r="4" customFormat="false" ht="15" hidden="false" customHeight="true" outlineLevel="0" collapsed="false">
      <c r="A4" s="9" t="s">
        <v>77</v>
      </c>
      <c r="B4" s="9" t="n">
        <v>1</v>
      </c>
      <c r="C4" s="17"/>
      <c r="D4" s="11"/>
    </row>
    <row r="5" customFormat="false" ht="15" hidden="false" customHeight="true" outlineLevel="0" collapsed="false">
      <c r="A5" s="9" t="s">
        <v>78</v>
      </c>
      <c r="B5" s="9" t="n">
        <f aca="false">SUM(Data!C2:C89)</f>
        <v>72</v>
      </c>
      <c r="C5" s="17"/>
      <c r="D5" s="11"/>
    </row>
    <row r="6" customFormat="false" ht="15" hidden="false" customHeight="true" outlineLevel="0" collapsed="false">
      <c r="A6" s="9" t="s">
        <v>79</v>
      </c>
      <c r="B6" s="9" t="n">
        <f aca="false">COUNTA(Data!A2:A89)-SUM(Data!C2:C89)</f>
        <v>16</v>
      </c>
      <c r="C6" s="17"/>
      <c r="D6" s="11"/>
    </row>
    <row r="7" customFormat="false" ht="15" hidden="false" customHeight="true" outlineLevel="0" collapsed="false">
      <c r="A7" s="9" t="s">
        <v>80</v>
      </c>
      <c r="B7" s="9" t="n">
        <f aca="false">SUMPRODUCT((Data!C2:C89=1)*(Data!D2:D89=0))</f>
        <v>0</v>
      </c>
      <c r="C7" s="17"/>
      <c r="D7" s="11" t="s">
        <v>81</v>
      </c>
    </row>
    <row r="8" customFormat="false" ht="15" hidden="false" customHeight="true" outlineLevel="0" collapsed="false">
      <c r="A8" s="9" t="s">
        <v>82</v>
      </c>
      <c r="B8" s="20" t="n">
        <f aca="false">IF(SUMPRODUCT((Data!C2:C89=1)*(Data!D2:D89&gt;0))=0,0,SUMIF(Data!C2:C89,1,Data!D2:D89)/SUMPRODUCT((Data!C2:C89=1)*(Data!D2:D89&gt;0)))</f>
        <v>28151.6111111111</v>
      </c>
      <c r="C8" s="17"/>
      <c r="D8" s="11" t="s">
        <v>83</v>
      </c>
    </row>
    <row r="9" customFormat="false" ht="15" hidden="false" customHeight="true" outlineLevel="0" collapsed="false">
      <c r="A9" s="9" t="s">
        <v>84</v>
      </c>
      <c r="B9" s="9" t="n">
        <f aca="false">_xlfn.MINIFS(Data!D2:D89,Data!C2:C89,1,Data!D2:D89,"&gt;0")</f>
        <v>2498</v>
      </c>
      <c r="C9" s="17"/>
      <c r="D9" s="11"/>
    </row>
    <row r="10" customFormat="false" ht="15" hidden="false" customHeight="true" outlineLevel="0" collapsed="false">
      <c r="A10" s="9" t="s">
        <v>85</v>
      </c>
      <c r="B10" s="9" t="n">
        <f aca="false">_xlfn.MAXIFS(Data!D2:D89,Data!C2:C89,1)</f>
        <v>189634</v>
      </c>
      <c r="C10" s="17"/>
      <c r="D10" s="11"/>
    </row>
    <row r="12" customFormat="false" ht="15" hidden="false" customHeight="true" outlineLevel="0" collapsed="false">
      <c r="A12" s="21" t="s">
        <v>86</v>
      </c>
      <c r="B12" s="21"/>
      <c r="C12" s="21"/>
      <c r="D12" s="21"/>
    </row>
    <row r="13" customFormat="false" ht="15" hidden="false" customHeight="true" outlineLevel="0" collapsed="false">
      <c r="A13" s="16" t="s">
        <v>87</v>
      </c>
      <c r="B13" s="16" t="s">
        <v>88</v>
      </c>
      <c r="C13" s="16" t="s">
        <v>89</v>
      </c>
      <c r="D13" s="16" t="s">
        <v>90</v>
      </c>
    </row>
    <row r="14" customFormat="false" ht="15" hidden="false" customHeight="true" outlineLevel="0" collapsed="false">
      <c r="A14" s="9" t="s">
        <v>91</v>
      </c>
      <c r="B14" s="9" t="n">
        <f aca="false">COUNTIF(Data!B2:B89,A14)</f>
        <v>88</v>
      </c>
      <c r="C14" s="9" t="n">
        <f aca="false">COUNTIFS(Data!B2:B89,A14,Data!C2:C89,1)</f>
        <v>72</v>
      </c>
      <c r="D14" s="10" t="n">
        <f aca="false">IF(C14=0,0,(COUNTIFS(Data!B2:B89,A14,Data!C2:C89,1,Data!P2:P89,"Yes"))/C14)</f>
        <v>0.597222222222222</v>
      </c>
    </row>
  </sheetData>
  <mergeCells count="2">
    <mergeCell ref="A1:D1"/>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5" min="5" style="1" width="42"/>
  </cols>
  <sheetData>
    <row r="1" customFormat="false" ht="15.75" hidden="false" customHeight="true" outlineLevel="0" collapsed="false">
      <c r="A1" s="7" t="s">
        <v>92</v>
      </c>
      <c r="B1" s="7"/>
      <c r="C1" s="7"/>
      <c r="D1" s="7"/>
    </row>
    <row r="2" customFormat="false" ht="15" hidden="false" customHeight="true" outlineLevel="0" collapsed="false">
      <c r="A2" s="15" t="s">
        <v>93</v>
      </c>
      <c r="B2" s="15"/>
      <c r="C2" s="15"/>
      <c r="D2" s="15"/>
    </row>
    <row r="4" customFormat="false" ht="15" hidden="false" customHeight="true" outlineLevel="0" collapsed="false">
      <c r="A4" s="16" t="s">
        <v>94</v>
      </c>
      <c r="B4" s="16" t="s">
        <v>95</v>
      </c>
      <c r="C4" s="16" t="s">
        <v>56</v>
      </c>
      <c r="D4" s="16" t="s">
        <v>96</v>
      </c>
    </row>
    <row r="5" customFormat="false" ht="15" hidden="false" customHeight="true" outlineLevel="0" collapsed="false">
      <c r="A5" s="9" t="s">
        <v>97</v>
      </c>
      <c r="B5" s="9" t="n">
        <f aca="false">SUMPRODUCT((Data!C2:C89=1)*(Data!Q2:Q89=1)*(Data!R2:R89=1))</f>
        <v>35</v>
      </c>
      <c r="C5" s="10" t="n">
        <f aca="false">IF(SUM(Data!C2:C89)=0,0,B5/SUM(Data!C2:C89))</f>
        <v>0.486111111111111</v>
      </c>
      <c r="D5" s="11" t="s">
        <v>98</v>
      </c>
    </row>
    <row r="6" customFormat="false" ht="15" hidden="false" customHeight="true" outlineLevel="0" collapsed="false">
      <c r="A6" s="9" t="s">
        <v>99</v>
      </c>
      <c r="B6" s="9" t="n">
        <f aca="false">SUMPRODUCT((Data!C2:C89=1)*(Data!Q2:Q89=1)*(Data!R2:R89=0))</f>
        <v>8</v>
      </c>
      <c r="C6" s="10" t="n">
        <f aca="false">IF(SUM(Data!C2:C89)=0,0,B6/SUM(Data!C2:C89))</f>
        <v>0.111111111111111</v>
      </c>
      <c r="D6" s="11" t="s">
        <v>100</v>
      </c>
    </row>
    <row r="7" customFormat="false" ht="15" hidden="false" customHeight="true" outlineLevel="0" collapsed="false">
      <c r="A7" s="9" t="s">
        <v>101</v>
      </c>
      <c r="B7" s="9" t="n">
        <f aca="false">SUMPRODUCT((Data!C2:C89=1)*(Data!Q2:Q89=0)*(Data!R2:R89=1))</f>
        <v>0</v>
      </c>
      <c r="C7" s="10" t="n">
        <f aca="false">IF(SUM(Data!C2:C89)=0,0,B7/SUM(Data!C2:C89))</f>
        <v>0</v>
      </c>
      <c r="D7" s="11" t="s">
        <v>102</v>
      </c>
    </row>
    <row r="8" customFormat="false" ht="15" hidden="false" customHeight="true" outlineLevel="0" collapsed="false">
      <c r="A8" s="9" t="s">
        <v>103</v>
      </c>
      <c r="B8" s="9" t="n">
        <f aca="false">SUMPRODUCT((Data!C2:C89=1)*(Data!Q2:Q89=0)*(Data!R2:R89=0))</f>
        <v>29</v>
      </c>
      <c r="C8" s="10" t="n">
        <f aca="false">IF(SUM(Data!C2:C89)=0,0,B8/SUM(Data!C2:C89))</f>
        <v>0.402777777777778</v>
      </c>
      <c r="D8" s="11" t="s">
        <v>104</v>
      </c>
    </row>
    <row r="10" customFormat="false" ht="15" hidden="false" customHeight="true" outlineLevel="0" collapsed="false">
      <c r="A10" s="22" t="s">
        <v>105</v>
      </c>
      <c r="B10" s="22" t="n">
        <f aca="false">B5+B6+B7</f>
        <v>43</v>
      </c>
    </row>
    <row r="11" customFormat="false" ht="15" hidden="false" customHeight="true" outlineLevel="0" collapsed="false">
      <c r="A11" s="12" t="s">
        <v>106</v>
      </c>
      <c r="B11" s="23" t="n">
        <f aca="false">IF(B10=0,0,B5/B10)</f>
        <v>0.813953488372093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5"/>
  </cols>
  <sheetData>
    <row r="1" customFormat="false" ht="17.25" hidden="false" customHeight="true" outlineLevel="0" collapsed="false">
      <c r="A1" s="2" t="s">
        <v>107</v>
      </c>
    </row>
    <row r="3" customFormat="false" ht="30" hidden="false" customHeight="true" outlineLevel="0" collapsed="false">
      <c r="A3" s="4" t="str">
        <f aca="false">"1. Bytecode resolution: "&amp;SUM(Data!C2:C89)&amp;" of "&amp;COUNTA(Data!A2:A89)&amp;" queried addresses ("&amp;TEXT(SUM(Data!C2:C89)/COUNTA(Data!A2:A89),"0.0%")&amp;") resolved to deployed bytecode; the rest are EOAs, unverified, or not found on-chain."</f>
        <v>1. Bytecode resolution: 72 of 88 queried addresses (81.8%) resolved to deployed bytecode; the rest are EOAs, unverified, or not found on-chain.</v>
      </c>
    </row>
    <row r="4" customFormat="false" ht="30" hidden="false" customHeight="true" outlineLevel="0" collapsed="false">
      <c r="A4" s="4" t="str">
        <f aca="false">"2. Detection coverage: only MAIAN and Mythril produced any detections. Reentrancy, Access Control, Delegatecall, Unchecked Call, Timestamp, TOD, DoS, Selfdestruct all show zero hits in this bytecode run."</f>
        <v>2. Detection coverage: only MAIAN and Mythril produced any detections. Reentrancy, Access Control, Delegatecall, Unchecked Call, Timestamp, TOD, DoS, Selfdestruct all show zero hits in this bytecode run.</v>
      </c>
    </row>
    <row r="5" customFormat="false" ht="30" hidden="false" customHeight="true" outlineLevel="0" collapsed="false">
      <c r="A5" s="4" t="str">
        <f aca="false">"3. Mythril flag rate ("&amp;TEXT(Tool_Wise_Analysis!E5,"0.0%")&amp;") vs MAIAN flag rate ("&amp;TEXT(Tool_Wise_Analysis!E4,"0.0%")&amp;") among resolved contracts."</f>
        <v>3. Mythril flag rate (48.6%) vs MAIAN flag rate (59.7%) among resolved contracts.</v>
      </c>
    </row>
    <row r="6" customFormat="false" ht="30" hidden="false" customHeight="true" outlineLevel="0" collapsed="false">
      <c r="A6" s="4" t="str">
        <f aca="false">"4. Tool overlap: Jaccard(MAIAN, Mythril) = "&amp;TEXT(Agreement_Jaccard!B11,"0.0000")&amp;" — "&amp;Agreement_Jaccard!B5&amp;" contracts triggered both tools, "&amp;Agreement_Jaccard!B6&amp;" only MAIAN, "&amp;Agreement_Jaccard!B7&amp;" only Mythril."</f>
        <v>4. Tool overlap: Jaccard(MAIAN, Mythril) = 0.8140 — 35 contracts triggered both tools, 8 only MAIAN, 0 only Mythril.</v>
      </c>
    </row>
    <row r="7" customFormat="false" ht="30" hidden="false" customHeight="true" outlineLevel="0" collapsed="false">
      <c r="A7" s="4" t="str">
        <f aca="false">"5. "&amp;Per_Vulnerability_Analysis!C15&amp;" of "&amp;Per_Vulnerability_Analysis!D15&amp;" resolved contracts ("&amp;TEXT(Per_Vulnerability_Analysis!C15/Per_Vulnerability_Analysis!D15,"0.0%")&amp;") were flagged by at least one tool."</f>
        <v>5. 43 of 72 resolved contracts (59.7%) were flagged by at least one tool.</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5.75" hidden="false" customHeight="true" outlineLevel="0" collapsed="false">
      <c r="A1" s="24" t="s">
        <v>108</v>
      </c>
    </row>
    <row r="2" customFormat="false" ht="21.75" hidden="false" customHeight="true" outlineLevel="0" collapsed="false">
      <c r="A2" s="25" t="s">
        <v>109</v>
      </c>
    </row>
    <row r="4" customFormat="false" ht="15.75" hidden="false" customHeight="true" outlineLevel="0" collapsed="false">
      <c r="A4" s="26" t="s">
        <v>110</v>
      </c>
    </row>
    <row r="5" customFormat="false" ht="31.5" hidden="false" customHeight="true" outlineLevel="0" collapsed="false">
      <c r="A5" s="27" t="s">
        <v>111</v>
      </c>
    </row>
    <row r="6" customFormat="false" ht="43.5" hidden="false" customHeight="true" outlineLevel="0" collapsed="false">
      <c r="A6" s="27" t="s">
        <v>112</v>
      </c>
    </row>
    <row r="8" customFormat="false" ht="15.75" hidden="false" customHeight="true" outlineLevel="0" collapsed="false">
      <c r="A8" s="26" t="s">
        <v>113</v>
      </c>
    </row>
    <row r="9" customFormat="false" ht="31.5" hidden="false" customHeight="true" outlineLevel="0" collapsed="false">
      <c r="A9" s="27" t="s">
        <v>114</v>
      </c>
    </row>
    <row r="10" customFormat="false" ht="15.75" hidden="false" customHeight="true" outlineLevel="0" collapsed="false">
      <c r="A10" s="28" t="s">
        <v>115</v>
      </c>
    </row>
    <row r="11" customFormat="false" ht="15.75" hidden="false" customHeight="true" outlineLevel="0" collapsed="false">
      <c r="A11" s="27" t="s">
        <v>116</v>
      </c>
    </row>
    <row r="12" customFormat="false" ht="48" hidden="false" customHeight="true" outlineLevel="0" collapsed="false">
      <c r="A12" s="28" t="s">
        <v>117</v>
      </c>
    </row>
    <row r="14" customFormat="false" ht="15.75" hidden="false" customHeight="true" outlineLevel="0" collapsed="false">
      <c r="A14" s="26" t="s">
        <v>118</v>
      </c>
    </row>
    <row r="15" customFormat="false" ht="31.5" hidden="false" customHeight="true" outlineLevel="0" collapsed="false">
      <c r="A15" s="27" t="s">
        <v>119</v>
      </c>
    </row>
    <row r="16" customFormat="false" ht="43.5" hidden="false" customHeight="true" outlineLevel="0" collapsed="false">
      <c r="A16" s="27" t="s">
        <v>120</v>
      </c>
    </row>
    <row r="17" customFormat="false" ht="55.5" hidden="false" customHeight="true" outlineLevel="0" collapsed="false">
      <c r="A17" s="27" t="s">
        <v>121</v>
      </c>
    </row>
    <row r="19" customFormat="false" ht="15.75" hidden="false" customHeight="true" outlineLevel="0" collapsed="false">
      <c r="A19" s="26" t="s">
        <v>122</v>
      </c>
    </row>
    <row r="20" customFormat="false" ht="31.5" hidden="false" customHeight="true" outlineLevel="0" collapsed="false">
      <c r="A20" s="27" t="s">
        <v>123</v>
      </c>
    </row>
    <row r="22" customFormat="false" ht="15.75" hidden="false" customHeight="true" outlineLevel="0" collapsed="false">
      <c r="A22" s="26" t="s">
        <v>124</v>
      </c>
    </row>
    <row r="23" customFormat="false" ht="31.5" hidden="false" customHeight="true" outlineLevel="0" collapsed="false">
      <c r="A23" s="27" t="s">
        <v>125</v>
      </c>
    </row>
    <row r="25" customFormat="false" ht="15.75" hidden="false" customHeight="true" outlineLevel="0" collapsed="false">
      <c r="A25" s="29" t="s">
        <v>126</v>
      </c>
    </row>
    <row r="26" customFormat="false" ht="43.5" hidden="false" customHeight="true" outlineLevel="0" collapsed="false">
      <c r="A26" s="28"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15" min="5" style="1" width="12"/>
    <col collapsed="false" customWidth="true" hidden="false" outlineLevel="0" max="16" min="16" style="1" width="11"/>
    <col collapsed="false" customWidth="true" hidden="false" outlineLevel="0" max="18" min="17" style="1" width="13"/>
  </cols>
  <sheetData>
    <row r="1" customFormat="false" ht="15" hidden="false" customHeight="true" outlineLevel="0" collapsed="false">
      <c r="A1" s="16" t="s">
        <v>128</v>
      </c>
      <c r="B1" s="16" t="s">
        <v>87</v>
      </c>
      <c r="C1" s="16" t="s">
        <v>129</v>
      </c>
      <c r="D1" s="16" t="s">
        <v>130</v>
      </c>
      <c r="E1" s="16" t="s">
        <v>34</v>
      </c>
      <c r="F1" s="16" t="s">
        <v>37</v>
      </c>
      <c r="G1" s="16" t="s">
        <v>131</v>
      </c>
      <c r="H1" s="16" t="s">
        <v>41</v>
      </c>
      <c r="I1" s="16" t="s">
        <v>132</v>
      </c>
      <c r="J1" s="16" t="s">
        <v>43</v>
      </c>
      <c r="K1" s="16" t="s">
        <v>44</v>
      </c>
      <c r="L1" s="16" t="s">
        <v>45</v>
      </c>
      <c r="M1" s="16" t="s">
        <v>46</v>
      </c>
      <c r="N1" s="16" t="s">
        <v>133</v>
      </c>
      <c r="O1" s="16" t="s">
        <v>134</v>
      </c>
      <c r="P1" s="16" t="s">
        <v>135</v>
      </c>
      <c r="Q1" s="16" t="s">
        <v>136</v>
      </c>
      <c r="R1" s="16" t="s">
        <v>137</v>
      </c>
    </row>
    <row r="2" customFormat="false" ht="15" hidden="false" customHeight="true" outlineLevel="0" collapsed="false">
      <c r="A2" s="9" t="s">
        <v>138</v>
      </c>
      <c r="B2" s="9" t="s">
        <v>91</v>
      </c>
      <c r="C2" s="9" t="n">
        <v>1</v>
      </c>
      <c r="D2" s="9" t="n">
        <v>46944</v>
      </c>
      <c r="E2" s="9"/>
      <c r="F2" s="9" t="s">
        <v>38</v>
      </c>
      <c r="G2" s="9"/>
      <c r="H2" s="9"/>
      <c r="I2" s="9"/>
      <c r="J2" s="9"/>
      <c r="K2" s="9"/>
      <c r="L2" s="9"/>
      <c r="M2" s="9"/>
      <c r="N2" s="9" t="s">
        <v>48</v>
      </c>
      <c r="O2" s="9" t="s">
        <v>48</v>
      </c>
      <c r="P2" s="9" t="s">
        <v>139</v>
      </c>
      <c r="Q2" s="9" t="n">
        <v>1</v>
      </c>
      <c r="R2" s="9" t="n">
        <v>1</v>
      </c>
    </row>
    <row r="3" customFormat="false" ht="15" hidden="false" customHeight="true" outlineLevel="0" collapsed="false">
      <c r="A3" s="9" t="s">
        <v>140</v>
      </c>
      <c r="B3" s="9" t="s">
        <v>91</v>
      </c>
      <c r="C3" s="9" t="n">
        <v>1</v>
      </c>
      <c r="D3" s="9" t="n">
        <v>4610</v>
      </c>
      <c r="E3" s="9"/>
      <c r="F3" s="9"/>
      <c r="G3" s="9"/>
      <c r="H3" s="9"/>
      <c r="I3" s="9"/>
      <c r="J3" s="9"/>
      <c r="K3" s="9"/>
      <c r="L3" s="9"/>
      <c r="M3" s="9"/>
      <c r="N3" s="9"/>
      <c r="O3" s="9"/>
      <c r="P3" s="9" t="s">
        <v>141</v>
      </c>
      <c r="Q3" s="9" t="n">
        <v>0</v>
      </c>
      <c r="R3" s="9" t="n">
        <v>0</v>
      </c>
    </row>
    <row r="4" customFormat="false" ht="15" hidden="false" customHeight="true" outlineLevel="0" collapsed="false">
      <c r="A4" s="9" t="s">
        <v>142</v>
      </c>
      <c r="B4" s="9" t="s">
        <v>91</v>
      </c>
      <c r="C4" s="9" t="n">
        <v>1</v>
      </c>
      <c r="D4" s="9" t="n">
        <v>4610</v>
      </c>
      <c r="E4" s="9"/>
      <c r="F4" s="9"/>
      <c r="G4" s="9"/>
      <c r="H4" s="9"/>
      <c r="I4" s="9"/>
      <c r="J4" s="9"/>
      <c r="K4" s="9"/>
      <c r="L4" s="9"/>
      <c r="M4" s="9"/>
      <c r="N4" s="9"/>
      <c r="O4" s="9"/>
      <c r="P4" s="9" t="s">
        <v>141</v>
      </c>
      <c r="Q4" s="9" t="n">
        <v>0</v>
      </c>
      <c r="R4" s="9" t="n">
        <v>0</v>
      </c>
    </row>
    <row r="5" customFormat="false" ht="15" hidden="false" customHeight="true" outlineLevel="0" collapsed="false">
      <c r="A5" s="9" t="s">
        <v>143</v>
      </c>
      <c r="B5" s="9" t="s">
        <v>91</v>
      </c>
      <c r="C5" s="9" t="n">
        <v>1</v>
      </c>
      <c r="D5" s="9" t="n">
        <v>29378</v>
      </c>
      <c r="E5" s="9"/>
      <c r="F5" s="9"/>
      <c r="G5" s="9"/>
      <c r="H5" s="9"/>
      <c r="I5" s="9"/>
      <c r="J5" s="9"/>
      <c r="K5" s="9"/>
      <c r="L5" s="9"/>
      <c r="M5" s="9"/>
      <c r="N5" s="9" t="s">
        <v>48</v>
      </c>
      <c r="O5" s="9" t="s">
        <v>48</v>
      </c>
      <c r="P5" s="9" t="s">
        <v>139</v>
      </c>
      <c r="Q5" s="9" t="n">
        <v>1</v>
      </c>
      <c r="R5" s="9" t="n">
        <v>0</v>
      </c>
    </row>
    <row r="6" customFormat="false" ht="15" hidden="false" customHeight="true" outlineLevel="0" collapsed="false">
      <c r="A6" s="9" t="s">
        <v>144</v>
      </c>
      <c r="B6" s="9" t="s">
        <v>91</v>
      </c>
      <c r="C6" s="9" t="n">
        <v>1</v>
      </c>
      <c r="D6" s="9" t="n">
        <v>3778</v>
      </c>
      <c r="E6" s="9"/>
      <c r="F6" s="9"/>
      <c r="G6" s="9"/>
      <c r="H6" s="9"/>
      <c r="I6" s="9"/>
      <c r="J6" s="9"/>
      <c r="K6" s="9"/>
      <c r="L6" s="9"/>
      <c r="M6" s="9"/>
      <c r="N6" s="9" t="s">
        <v>48</v>
      </c>
      <c r="O6" s="9" t="s">
        <v>48</v>
      </c>
      <c r="P6" s="9" t="s">
        <v>139</v>
      </c>
      <c r="Q6" s="9" t="n">
        <v>1</v>
      </c>
      <c r="R6" s="9" t="n">
        <v>0</v>
      </c>
    </row>
    <row r="7" customFormat="false" ht="15" hidden="false" customHeight="true" outlineLevel="0" collapsed="false">
      <c r="A7" s="9" t="s">
        <v>145</v>
      </c>
      <c r="B7" s="9" t="s">
        <v>91</v>
      </c>
      <c r="C7" s="9" t="n">
        <v>1</v>
      </c>
      <c r="D7" s="9" t="n">
        <v>46944</v>
      </c>
      <c r="E7" s="9"/>
      <c r="F7" s="9" t="s">
        <v>38</v>
      </c>
      <c r="G7" s="9"/>
      <c r="H7" s="9"/>
      <c r="I7" s="9"/>
      <c r="J7" s="9"/>
      <c r="K7" s="9"/>
      <c r="L7" s="9"/>
      <c r="M7" s="9"/>
      <c r="N7" s="9" t="s">
        <v>48</v>
      </c>
      <c r="O7" s="9" t="s">
        <v>48</v>
      </c>
      <c r="P7" s="9" t="s">
        <v>139</v>
      </c>
      <c r="Q7" s="9" t="n">
        <v>1</v>
      </c>
      <c r="R7" s="9" t="n">
        <v>1</v>
      </c>
    </row>
    <row r="8" customFormat="false" ht="15" hidden="false" customHeight="true" outlineLevel="0" collapsed="false">
      <c r="A8" s="9" t="s">
        <v>146</v>
      </c>
      <c r="B8" s="9" t="s">
        <v>91</v>
      </c>
      <c r="C8" s="9" t="n">
        <v>1</v>
      </c>
      <c r="D8" s="9" t="n">
        <v>46944</v>
      </c>
      <c r="E8" s="9"/>
      <c r="F8" s="9" t="s">
        <v>38</v>
      </c>
      <c r="G8" s="9"/>
      <c r="H8" s="9"/>
      <c r="I8" s="9"/>
      <c r="J8" s="9"/>
      <c r="K8" s="9"/>
      <c r="L8" s="9"/>
      <c r="M8" s="9"/>
      <c r="N8" s="9" t="s">
        <v>48</v>
      </c>
      <c r="O8" s="9" t="s">
        <v>48</v>
      </c>
      <c r="P8" s="9" t="s">
        <v>139</v>
      </c>
      <c r="Q8" s="9" t="n">
        <v>1</v>
      </c>
      <c r="R8" s="9" t="n">
        <v>1</v>
      </c>
    </row>
    <row r="9" customFormat="false" ht="15" hidden="false" customHeight="true" outlineLevel="0" collapsed="false">
      <c r="A9" s="9" t="s">
        <v>147</v>
      </c>
      <c r="B9" s="9" t="s">
        <v>91</v>
      </c>
      <c r="C9" s="9" t="n">
        <v>1</v>
      </c>
      <c r="D9" s="9" t="n">
        <v>172226</v>
      </c>
      <c r="E9" s="9"/>
      <c r="F9" s="9"/>
      <c r="G9" s="9"/>
      <c r="H9" s="9"/>
      <c r="I9" s="9"/>
      <c r="J9" s="9"/>
      <c r="K9" s="9"/>
      <c r="L9" s="9"/>
      <c r="M9" s="9"/>
      <c r="N9" s="9" t="s">
        <v>48</v>
      </c>
      <c r="O9" s="9" t="s">
        <v>48</v>
      </c>
      <c r="P9" s="9" t="s">
        <v>139</v>
      </c>
      <c r="Q9" s="9" t="n">
        <v>1</v>
      </c>
      <c r="R9" s="9" t="n">
        <v>0</v>
      </c>
    </row>
    <row r="10" customFormat="false" ht="15" hidden="false" customHeight="true" outlineLevel="0" collapsed="false">
      <c r="A10" s="9" t="s">
        <v>148</v>
      </c>
      <c r="B10" s="9" t="s">
        <v>91</v>
      </c>
      <c r="C10" s="9" t="n">
        <v>1</v>
      </c>
      <c r="D10" s="9" t="n">
        <v>4610</v>
      </c>
      <c r="E10" s="9"/>
      <c r="F10" s="9"/>
      <c r="G10" s="9"/>
      <c r="H10" s="9"/>
      <c r="I10" s="9"/>
      <c r="J10" s="9"/>
      <c r="K10" s="9"/>
      <c r="L10" s="9"/>
      <c r="M10" s="9"/>
      <c r="N10" s="9"/>
      <c r="O10" s="9"/>
      <c r="P10" s="9" t="s">
        <v>141</v>
      </c>
      <c r="Q10" s="9" t="n">
        <v>0</v>
      </c>
      <c r="R10" s="9" t="n">
        <v>0</v>
      </c>
    </row>
    <row r="11" customFormat="false" ht="15" hidden="false" customHeight="true" outlineLevel="0" collapsed="false">
      <c r="A11" s="9" t="s">
        <v>149</v>
      </c>
      <c r="B11" s="9" t="s">
        <v>91</v>
      </c>
      <c r="C11" s="9" t="n">
        <v>1</v>
      </c>
      <c r="D11" s="9" t="n">
        <v>45992</v>
      </c>
      <c r="E11" s="9"/>
      <c r="F11" s="9" t="s">
        <v>38</v>
      </c>
      <c r="G11" s="9"/>
      <c r="H11" s="9"/>
      <c r="I11" s="9"/>
      <c r="J11" s="9"/>
      <c r="K11" s="9"/>
      <c r="L11" s="9"/>
      <c r="M11" s="9"/>
      <c r="N11" s="9" t="s">
        <v>48</v>
      </c>
      <c r="O11" s="9" t="s">
        <v>48</v>
      </c>
      <c r="P11" s="9" t="s">
        <v>139</v>
      </c>
      <c r="Q11" s="9" t="n">
        <v>1</v>
      </c>
      <c r="R11" s="9" t="n">
        <v>1</v>
      </c>
    </row>
    <row r="12" customFormat="false" ht="15" hidden="false" customHeight="true" outlineLevel="0" collapsed="false">
      <c r="A12" s="9" t="s">
        <v>150</v>
      </c>
      <c r="B12" s="9" t="s">
        <v>91</v>
      </c>
      <c r="C12" s="9" t="n">
        <v>1</v>
      </c>
      <c r="D12" s="9" t="n">
        <v>4610</v>
      </c>
      <c r="E12" s="9"/>
      <c r="F12" s="9"/>
      <c r="G12" s="9"/>
      <c r="H12" s="9"/>
      <c r="I12" s="9"/>
      <c r="J12" s="9"/>
      <c r="K12" s="9"/>
      <c r="L12" s="9"/>
      <c r="M12" s="9"/>
      <c r="N12" s="9"/>
      <c r="O12" s="9"/>
      <c r="P12" s="9" t="s">
        <v>141</v>
      </c>
      <c r="Q12" s="9" t="n">
        <v>0</v>
      </c>
      <c r="R12" s="9" t="n">
        <v>0</v>
      </c>
    </row>
    <row r="13" customFormat="false" ht="15" hidden="false" customHeight="true" outlineLevel="0" collapsed="false">
      <c r="A13" s="9" t="s">
        <v>151</v>
      </c>
      <c r="B13" s="9" t="s">
        <v>91</v>
      </c>
      <c r="C13" s="9" t="n">
        <v>1</v>
      </c>
      <c r="D13" s="9" t="n">
        <v>4610</v>
      </c>
      <c r="E13" s="9"/>
      <c r="F13" s="9"/>
      <c r="G13" s="9"/>
      <c r="H13" s="9"/>
      <c r="I13" s="9"/>
      <c r="J13" s="9"/>
      <c r="K13" s="9"/>
      <c r="L13" s="9"/>
      <c r="M13" s="9"/>
      <c r="N13" s="9"/>
      <c r="O13" s="9"/>
      <c r="P13" s="9" t="s">
        <v>141</v>
      </c>
      <c r="Q13" s="9" t="n">
        <v>0</v>
      </c>
      <c r="R13" s="9" t="n">
        <v>0</v>
      </c>
    </row>
    <row r="14" customFormat="false" ht="15" hidden="false" customHeight="true" outlineLevel="0" collapsed="false">
      <c r="A14" s="9" t="s">
        <v>152</v>
      </c>
      <c r="B14" s="9" t="s">
        <v>91</v>
      </c>
      <c r="C14" s="9" t="n">
        <v>0</v>
      </c>
      <c r="D14" s="9" t="n">
        <v>0</v>
      </c>
      <c r="E14" s="9"/>
      <c r="F14" s="9"/>
      <c r="G14" s="9"/>
      <c r="H14" s="9"/>
      <c r="I14" s="9"/>
      <c r="J14" s="9"/>
      <c r="K14" s="9"/>
      <c r="L14" s="9"/>
      <c r="M14" s="9"/>
      <c r="N14" s="9"/>
      <c r="O14" s="9"/>
      <c r="P14" s="9" t="s">
        <v>141</v>
      </c>
      <c r="Q14" s="9" t="n">
        <v>0</v>
      </c>
      <c r="R14" s="9" t="n">
        <v>0</v>
      </c>
    </row>
    <row r="15" customFormat="false" ht="15" hidden="false" customHeight="true" outlineLevel="0" collapsed="false">
      <c r="A15" s="9" t="s">
        <v>153</v>
      </c>
      <c r="B15" s="9" t="s">
        <v>91</v>
      </c>
      <c r="C15" s="9" t="n">
        <v>0</v>
      </c>
      <c r="D15" s="9" t="n">
        <v>0</v>
      </c>
      <c r="E15" s="9"/>
      <c r="F15" s="9"/>
      <c r="G15" s="9"/>
      <c r="H15" s="9"/>
      <c r="I15" s="9"/>
      <c r="J15" s="9"/>
      <c r="K15" s="9"/>
      <c r="L15" s="9"/>
      <c r="M15" s="9"/>
      <c r="N15" s="9"/>
      <c r="O15" s="9"/>
      <c r="P15" s="9" t="s">
        <v>141</v>
      </c>
      <c r="Q15" s="9" t="n">
        <v>0</v>
      </c>
      <c r="R15" s="9" t="n">
        <v>0</v>
      </c>
    </row>
    <row r="16" customFormat="false" ht="15" hidden="false" customHeight="true" outlineLevel="0" collapsed="false">
      <c r="A16" s="9" t="s">
        <v>154</v>
      </c>
      <c r="B16" s="9" t="s">
        <v>91</v>
      </c>
      <c r="C16" s="9" t="n">
        <v>1</v>
      </c>
      <c r="D16" s="9" t="n">
        <v>4610</v>
      </c>
      <c r="E16" s="9"/>
      <c r="F16" s="9"/>
      <c r="G16" s="9"/>
      <c r="H16" s="9"/>
      <c r="I16" s="9"/>
      <c r="J16" s="9"/>
      <c r="K16" s="9"/>
      <c r="L16" s="9"/>
      <c r="M16" s="9"/>
      <c r="N16" s="9"/>
      <c r="O16" s="9"/>
      <c r="P16" s="9" t="s">
        <v>141</v>
      </c>
      <c r="Q16" s="9" t="n">
        <v>0</v>
      </c>
      <c r="R16" s="9" t="n">
        <v>0</v>
      </c>
    </row>
    <row r="17" customFormat="false" ht="15" hidden="false" customHeight="true" outlineLevel="0" collapsed="false">
      <c r="A17" s="9" t="s">
        <v>155</v>
      </c>
      <c r="B17" s="9" t="s">
        <v>91</v>
      </c>
      <c r="C17" s="9" t="n">
        <v>0</v>
      </c>
      <c r="D17" s="9" t="n">
        <v>0</v>
      </c>
      <c r="E17" s="9"/>
      <c r="F17" s="9"/>
      <c r="G17" s="9"/>
      <c r="H17" s="9"/>
      <c r="I17" s="9"/>
      <c r="J17" s="9"/>
      <c r="K17" s="9"/>
      <c r="L17" s="9"/>
      <c r="M17" s="9"/>
      <c r="N17" s="9"/>
      <c r="O17" s="9"/>
      <c r="P17" s="9" t="s">
        <v>141</v>
      </c>
      <c r="Q17" s="9" t="n">
        <v>0</v>
      </c>
      <c r="R17" s="9" t="n">
        <v>0</v>
      </c>
    </row>
    <row r="18" customFormat="false" ht="15" hidden="false" customHeight="true" outlineLevel="0" collapsed="false">
      <c r="A18" s="9" t="s">
        <v>156</v>
      </c>
      <c r="B18" s="9" t="s">
        <v>91</v>
      </c>
      <c r="C18" s="9" t="n">
        <v>0</v>
      </c>
      <c r="D18" s="9" t="n">
        <v>0</v>
      </c>
      <c r="E18" s="9"/>
      <c r="F18" s="9"/>
      <c r="G18" s="9"/>
      <c r="H18" s="9"/>
      <c r="I18" s="9"/>
      <c r="J18" s="9"/>
      <c r="K18" s="9"/>
      <c r="L18" s="9"/>
      <c r="M18" s="9"/>
      <c r="N18" s="9"/>
      <c r="O18" s="9"/>
      <c r="P18" s="9" t="s">
        <v>141</v>
      </c>
      <c r="Q18" s="9" t="n">
        <v>0</v>
      </c>
      <c r="R18" s="9" t="n">
        <v>0</v>
      </c>
    </row>
    <row r="19" customFormat="false" ht="15" hidden="false" customHeight="true" outlineLevel="0" collapsed="false">
      <c r="A19" s="9" t="s">
        <v>157</v>
      </c>
      <c r="B19" s="9" t="s">
        <v>91</v>
      </c>
      <c r="C19" s="9" t="n">
        <v>1</v>
      </c>
      <c r="D19" s="9" t="n">
        <v>189634</v>
      </c>
      <c r="E19" s="9"/>
      <c r="F19" s="9"/>
      <c r="G19" s="9"/>
      <c r="H19" s="9"/>
      <c r="I19" s="9"/>
      <c r="J19" s="9"/>
      <c r="K19" s="9"/>
      <c r="L19" s="9"/>
      <c r="M19" s="9"/>
      <c r="N19" s="9" t="s">
        <v>48</v>
      </c>
      <c r="O19" s="9" t="s">
        <v>48</v>
      </c>
      <c r="P19" s="9" t="s">
        <v>139</v>
      </c>
      <c r="Q19" s="9" t="n">
        <v>1</v>
      </c>
      <c r="R19" s="9" t="n">
        <v>0</v>
      </c>
    </row>
    <row r="20" customFormat="false" ht="15" hidden="false" customHeight="true" outlineLevel="0" collapsed="false">
      <c r="A20" s="9" t="s">
        <v>158</v>
      </c>
      <c r="B20" s="9" t="s">
        <v>91</v>
      </c>
      <c r="C20" s="9" t="n">
        <v>1</v>
      </c>
      <c r="D20" s="9" t="n">
        <v>4610</v>
      </c>
      <c r="E20" s="9"/>
      <c r="F20" s="9"/>
      <c r="G20" s="9"/>
      <c r="H20" s="9"/>
      <c r="I20" s="9"/>
      <c r="J20" s="9"/>
      <c r="K20" s="9"/>
      <c r="L20" s="9"/>
      <c r="M20" s="9"/>
      <c r="N20" s="9"/>
      <c r="O20" s="9"/>
      <c r="P20" s="9" t="s">
        <v>141</v>
      </c>
      <c r="Q20" s="9" t="n">
        <v>0</v>
      </c>
      <c r="R20" s="9" t="n">
        <v>0</v>
      </c>
    </row>
    <row r="21" customFormat="false" ht="15" hidden="false" customHeight="true" outlineLevel="0" collapsed="false">
      <c r="A21" s="9" t="s">
        <v>159</v>
      </c>
      <c r="B21" s="9" t="s">
        <v>91</v>
      </c>
      <c r="C21" s="9" t="n">
        <v>1</v>
      </c>
      <c r="D21" s="9" t="n">
        <v>22022</v>
      </c>
      <c r="E21" s="9"/>
      <c r="F21" s="9" t="s">
        <v>38</v>
      </c>
      <c r="G21" s="9"/>
      <c r="H21" s="9"/>
      <c r="I21" s="9"/>
      <c r="J21" s="9"/>
      <c r="K21" s="9"/>
      <c r="L21" s="9"/>
      <c r="M21" s="9"/>
      <c r="N21" s="9"/>
      <c r="O21" s="9" t="s">
        <v>48</v>
      </c>
      <c r="P21" s="9" t="s">
        <v>139</v>
      </c>
      <c r="Q21" s="9" t="n">
        <v>1</v>
      </c>
      <c r="R21" s="9" t="n">
        <v>1</v>
      </c>
    </row>
    <row r="22" customFormat="false" ht="15" hidden="false" customHeight="true" outlineLevel="0" collapsed="false">
      <c r="A22" s="9" t="s">
        <v>160</v>
      </c>
      <c r="B22" s="9" t="s">
        <v>91</v>
      </c>
      <c r="C22" s="9" t="n">
        <v>1</v>
      </c>
      <c r="D22" s="9" t="n">
        <v>4610</v>
      </c>
      <c r="E22" s="9"/>
      <c r="F22" s="9"/>
      <c r="G22" s="9"/>
      <c r="H22" s="9"/>
      <c r="I22" s="9"/>
      <c r="J22" s="9"/>
      <c r="K22" s="9"/>
      <c r="L22" s="9"/>
      <c r="M22" s="9"/>
      <c r="N22" s="9"/>
      <c r="O22" s="9"/>
      <c r="P22" s="9" t="s">
        <v>141</v>
      </c>
      <c r="Q22" s="9" t="n">
        <v>0</v>
      </c>
      <c r="R22" s="9" t="n">
        <v>0</v>
      </c>
    </row>
    <row r="23" customFormat="false" ht="15" hidden="false" customHeight="true" outlineLevel="0" collapsed="false">
      <c r="A23" s="9" t="s">
        <v>161</v>
      </c>
      <c r="B23" s="9" t="s">
        <v>91</v>
      </c>
      <c r="C23" s="9" t="n">
        <v>1</v>
      </c>
      <c r="D23" s="9" t="n">
        <v>4610</v>
      </c>
      <c r="E23" s="9"/>
      <c r="F23" s="9"/>
      <c r="G23" s="9"/>
      <c r="H23" s="9"/>
      <c r="I23" s="9"/>
      <c r="J23" s="9"/>
      <c r="K23" s="9"/>
      <c r="L23" s="9"/>
      <c r="M23" s="9"/>
      <c r="N23" s="9"/>
      <c r="O23" s="9"/>
      <c r="P23" s="9" t="s">
        <v>141</v>
      </c>
      <c r="Q23" s="9" t="n">
        <v>0</v>
      </c>
      <c r="R23" s="9" t="n">
        <v>0</v>
      </c>
    </row>
    <row r="24" customFormat="false" ht="15" hidden="false" customHeight="true" outlineLevel="0" collapsed="false">
      <c r="A24" s="9" t="s">
        <v>162</v>
      </c>
      <c r="B24" s="9" t="s">
        <v>91</v>
      </c>
      <c r="C24" s="9" t="n">
        <v>0</v>
      </c>
      <c r="D24" s="9" t="n">
        <v>0</v>
      </c>
      <c r="E24" s="9"/>
      <c r="F24" s="9"/>
      <c r="G24" s="9"/>
      <c r="H24" s="9"/>
      <c r="I24" s="9"/>
      <c r="J24" s="9"/>
      <c r="K24" s="9"/>
      <c r="L24" s="9"/>
      <c r="M24" s="9"/>
      <c r="N24" s="9"/>
      <c r="O24" s="9"/>
      <c r="P24" s="9" t="s">
        <v>141</v>
      </c>
      <c r="Q24" s="9" t="n">
        <v>0</v>
      </c>
      <c r="R24" s="9" t="n">
        <v>0</v>
      </c>
    </row>
    <row r="25" customFormat="false" ht="15" hidden="false" customHeight="true" outlineLevel="0" collapsed="false">
      <c r="A25" s="9" t="s">
        <v>163</v>
      </c>
      <c r="B25" s="9" t="s">
        <v>91</v>
      </c>
      <c r="C25" s="9" t="n">
        <v>1</v>
      </c>
      <c r="D25" s="9" t="n">
        <v>46944</v>
      </c>
      <c r="E25" s="9"/>
      <c r="F25" s="9" t="s">
        <v>38</v>
      </c>
      <c r="G25" s="9"/>
      <c r="H25" s="9"/>
      <c r="I25" s="9"/>
      <c r="J25" s="9"/>
      <c r="K25" s="9"/>
      <c r="L25" s="9"/>
      <c r="M25" s="9"/>
      <c r="N25" s="9" t="s">
        <v>48</v>
      </c>
      <c r="O25" s="9" t="s">
        <v>48</v>
      </c>
      <c r="P25" s="9" t="s">
        <v>139</v>
      </c>
      <c r="Q25" s="9" t="n">
        <v>1</v>
      </c>
      <c r="R25" s="9" t="n">
        <v>1</v>
      </c>
    </row>
    <row r="26" customFormat="false" ht="15" hidden="false" customHeight="true" outlineLevel="0" collapsed="false">
      <c r="A26" s="9" t="s">
        <v>164</v>
      </c>
      <c r="B26" s="9" t="s">
        <v>91</v>
      </c>
      <c r="C26" s="9" t="n">
        <v>1</v>
      </c>
      <c r="D26" s="9" t="n">
        <v>4610</v>
      </c>
      <c r="E26" s="9"/>
      <c r="F26" s="9"/>
      <c r="G26" s="9"/>
      <c r="H26" s="9"/>
      <c r="I26" s="9"/>
      <c r="J26" s="9"/>
      <c r="K26" s="9"/>
      <c r="L26" s="9"/>
      <c r="M26" s="9"/>
      <c r="N26" s="9"/>
      <c r="O26" s="9"/>
      <c r="P26" s="9" t="s">
        <v>141</v>
      </c>
      <c r="Q26" s="9" t="n">
        <v>0</v>
      </c>
      <c r="R26" s="9" t="n">
        <v>0</v>
      </c>
    </row>
    <row r="27" customFormat="false" ht="15" hidden="false" customHeight="true" outlineLevel="0" collapsed="false">
      <c r="A27" s="9" t="s">
        <v>165</v>
      </c>
      <c r="B27" s="9" t="s">
        <v>91</v>
      </c>
      <c r="C27" s="9" t="n">
        <v>1</v>
      </c>
      <c r="D27" s="9" t="n">
        <v>45992</v>
      </c>
      <c r="E27" s="9"/>
      <c r="F27" s="9" t="s">
        <v>38</v>
      </c>
      <c r="G27" s="9"/>
      <c r="H27" s="9"/>
      <c r="I27" s="9"/>
      <c r="J27" s="9"/>
      <c r="K27" s="9"/>
      <c r="L27" s="9"/>
      <c r="M27" s="9"/>
      <c r="N27" s="9" t="s">
        <v>48</v>
      </c>
      <c r="O27" s="9" t="s">
        <v>48</v>
      </c>
      <c r="P27" s="9" t="s">
        <v>139</v>
      </c>
      <c r="Q27" s="9" t="n">
        <v>1</v>
      </c>
      <c r="R27" s="9" t="n">
        <v>1</v>
      </c>
    </row>
    <row r="28" customFormat="false" ht="15" hidden="false" customHeight="true" outlineLevel="0" collapsed="false">
      <c r="A28" s="9" t="s">
        <v>166</v>
      </c>
      <c r="B28" s="9" t="s">
        <v>91</v>
      </c>
      <c r="C28" s="9" t="n">
        <v>1</v>
      </c>
      <c r="D28" s="9" t="n">
        <v>2498</v>
      </c>
      <c r="E28" s="9"/>
      <c r="F28" s="9"/>
      <c r="G28" s="9"/>
      <c r="H28" s="9"/>
      <c r="I28" s="9"/>
      <c r="J28" s="9"/>
      <c r="K28" s="9"/>
      <c r="L28" s="9"/>
      <c r="M28" s="9"/>
      <c r="N28" s="9" t="s">
        <v>48</v>
      </c>
      <c r="O28" s="9" t="s">
        <v>48</v>
      </c>
      <c r="P28" s="9" t="s">
        <v>139</v>
      </c>
      <c r="Q28" s="9" t="n">
        <v>1</v>
      </c>
      <c r="R28" s="9" t="n">
        <v>0</v>
      </c>
    </row>
    <row r="29" customFormat="false" ht="15" hidden="false" customHeight="true" outlineLevel="0" collapsed="false">
      <c r="A29" s="9" t="s">
        <v>167</v>
      </c>
      <c r="B29" s="9" t="s">
        <v>91</v>
      </c>
      <c r="C29" s="9" t="n">
        <v>1</v>
      </c>
      <c r="D29" s="9" t="n">
        <v>22022</v>
      </c>
      <c r="E29" s="9"/>
      <c r="F29" s="9" t="s">
        <v>38</v>
      </c>
      <c r="G29" s="9"/>
      <c r="H29" s="9"/>
      <c r="I29" s="9"/>
      <c r="J29" s="9"/>
      <c r="K29" s="9"/>
      <c r="L29" s="9"/>
      <c r="M29" s="9"/>
      <c r="N29" s="9"/>
      <c r="O29" s="9" t="s">
        <v>48</v>
      </c>
      <c r="P29" s="9" t="s">
        <v>139</v>
      </c>
      <c r="Q29" s="9" t="n">
        <v>1</v>
      </c>
      <c r="R29" s="9" t="n">
        <v>1</v>
      </c>
    </row>
    <row r="30" customFormat="false" ht="15" hidden="false" customHeight="true" outlineLevel="0" collapsed="false">
      <c r="A30" s="9" t="s">
        <v>168</v>
      </c>
      <c r="B30" s="9" t="s">
        <v>91</v>
      </c>
      <c r="C30" s="9" t="n">
        <v>1</v>
      </c>
      <c r="D30" s="9" t="n">
        <v>4610</v>
      </c>
      <c r="E30" s="9"/>
      <c r="F30" s="9"/>
      <c r="G30" s="9"/>
      <c r="H30" s="9"/>
      <c r="I30" s="9"/>
      <c r="J30" s="9"/>
      <c r="K30" s="9"/>
      <c r="L30" s="9"/>
      <c r="M30" s="9"/>
      <c r="N30" s="9"/>
      <c r="O30" s="9"/>
      <c r="P30" s="9" t="s">
        <v>141</v>
      </c>
      <c r="Q30" s="9" t="n">
        <v>0</v>
      </c>
      <c r="R30" s="9" t="n">
        <v>0</v>
      </c>
    </row>
    <row r="31" customFormat="false" ht="15" hidden="false" customHeight="true" outlineLevel="0" collapsed="false">
      <c r="A31" s="9" t="s">
        <v>169</v>
      </c>
      <c r="B31" s="9" t="s">
        <v>91</v>
      </c>
      <c r="C31" s="9" t="n">
        <v>1</v>
      </c>
      <c r="D31" s="9" t="n">
        <v>45992</v>
      </c>
      <c r="E31" s="9"/>
      <c r="F31" s="9" t="s">
        <v>38</v>
      </c>
      <c r="G31" s="9"/>
      <c r="H31" s="9"/>
      <c r="I31" s="9"/>
      <c r="J31" s="9"/>
      <c r="K31" s="9"/>
      <c r="L31" s="9"/>
      <c r="M31" s="9"/>
      <c r="N31" s="9" t="s">
        <v>48</v>
      </c>
      <c r="O31" s="9" t="s">
        <v>48</v>
      </c>
      <c r="P31" s="9" t="s">
        <v>139</v>
      </c>
      <c r="Q31" s="9" t="n">
        <v>1</v>
      </c>
      <c r="R31" s="9" t="n">
        <v>1</v>
      </c>
    </row>
    <row r="32" customFormat="false" ht="15" hidden="false" customHeight="true" outlineLevel="0" collapsed="false">
      <c r="A32" s="9" t="s">
        <v>170</v>
      </c>
      <c r="B32" s="9" t="s">
        <v>91</v>
      </c>
      <c r="C32" s="9" t="n">
        <v>1</v>
      </c>
      <c r="D32" s="9" t="n">
        <v>46944</v>
      </c>
      <c r="E32" s="9"/>
      <c r="F32" s="9" t="s">
        <v>38</v>
      </c>
      <c r="G32" s="9"/>
      <c r="H32" s="9"/>
      <c r="I32" s="9"/>
      <c r="J32" s="9"/>
      <c r="K32" s="9"/>
      <c r="L32" s="9"/>
      <c r="M32" s="9"/>
      <c r="N32" s="9" t="s">
        <v>48</v>
      </c>
      <c r="O32" s="9" t="s">
        <v>48</v>
      </c>
      <c r="P32" s="9" t="s">
        <v>139</v>
      </c>
      <c r="Q32" s="9" t="n">
        <v>1</v>
      </c>
      <c r="R32" s="9" t="n">
        <v>1</v>
      </c>
    </row>
    <row r="33" customFormat="false" ht="15" hidden="false" customHeight="true" outlineLevel="0" collapsed="false">
      <c r="A33" s="9" t="s">
        <v>171</v>
      </c>
      <c r="B33" s="9" t="s">
        <v>91</v>
      </c>
      <c r="C33" s="9" t="n">
        <v>1</v>
      </c>
      <c r="D33" s="9" t="n">
        <v>45992</v>
      </c>
      <c r="E33" s="9"/>
      <c r="F33" s="9" t="s">
        <v>38</v>
      </c>
      <c r="G33" s="9"/>
      <c r="H33" s="9"/>
      <c r="I33" s="9"/>
      <c r="J33" s="9"/>
      <c r="K33" s="9"/>
      <c r="L33" s="9"/>
      <c r="M33" s="9"/>
      <c r="N33" s="9" t="s">
        <v>48</v>
      </c>
      <c r="O33" s="9" t="s">
        <v>48</v>
      </c>
      <c r="P33" s="9" t="s">
        <v>139</v>
      </c>
      <c r="Q33" s="9" t="n">
        <v>1</v>
      </c>
      <c r="R33" s="9" t="n">
        <v>1</v>
      </c>
    </row>
    <row r="34" customFormat="false" ht="15" hidden="false" customHeight="true" outlineLevel="0" collapsed="false">
      <c r="A34" s="9" t="s">
        <v>172</v>
      </c>
      <c r="B34" s="9" t="s">
        <v>91</v>
      </c>
      <c r="C34" s="9" t="n">
        <v>0</v>
      </c>
      <c r="D34" s="9" t="n">
        <v>0</v>
      </c>
      <c r="E34" s="9"/>
      <c r="F34" s="9"/>
      <c r="G34" s="9"/>
      <c r="H34" s="9"/>
      <c r="I34" s="9"/>
      <c r="J34" s="9"/>
      <c r="K34" s="9"/>
      <c r="L34" s="9"/>
      <c r="M34" s="9"/>
      <c r="N34" s="9"/>
      <c r="O34" s="9"/>
      <c r="P34" s="9" t="s">
        <v>141</v>
      </c>
      <c r="Q34" s="9" t="n">
        <v>0</v>
      </c>
      <c r="R34" s="9" t="n">
        <v>0</v>
      </c>
    </row>
    <row r="35" customFormat="false" ht="15" hidden="false" customHeight="true" outlineLevel="0" collapsed="false">
      <c r="A35" s="9" t="s">
        <v>173</v>
      </c>
      <c r="B35" s="9" t="s">
        <v>91</v>
      </c>
      <c r="C35" s="9" t="n">
        <v>1</v>
      </c>
      <c r="D35" s="9" t="n">
        <v>45992</v>
      </c>
      <c r="E35" s="9"/>
      <c r="F35" s="9" t="s">
        <v>38</v>
      </c>
      <c r="G35" s="9"/>
      <c r="H35" s="9"/>
      <c r="I35" s="9"/>
      <c r="J35" s="9"/>
      <c r="K35" s="9"/>
      <c r="L35" s="9"/>
      <c r="M35" s="9"/>
      <c r="N35" s="9" t="s">
        <v>48</v>
      </c>
      <c r="O35" s="9" t="s">
        <v>48</v>
      </c>
      <c r="P35" s="9" t="s">
        <v>139</v>
      </c>
      <c r="Q35" s="9" t="n">
        <v>1</v>
      </c>
      <c r="R35" s="9" t="n">
        <v>1</v>
      </c>
    </row>
    <row r="36" customFormat="false" ht="15" hidden="false" customHeight="true" outlineLevel="0" collapsed="false">
      <c r="A36" s="9" t="s">
        <v>174</v>
      </c>
      <c r="B36" s="9" t="s">
        <v>91</v>
      </c>
      <c r="C36" s="9" t="n">
        <v>1</v>
      </c>
      <c r="D36" s="9" t="n">
        <v>4610</v>
      </c>
      <c r="E36" s="9"/>
      <c r="F36" s="9"/>
      <c r="G36" s="9"/>
      <c r="H36" s="9"/>
      <c r="I36" s="9"/>
      <c r="J36" s="9"/>
      <c r="K36" s="9"/>
      <c r="L36" s="9"/>
      <c r="M36" s="9"/>
      <c r="N36" s="9"/>
      <c r="O36" s="9"/>
      <c r="P36" s="9" t="s">
        <v>141</v>
      </c>
      <c r="Q36" s="9" t="n">
        <v>0</v>
      </c>
      <c r="R36" s="9" t="n">
        <v>0</v>
      </c>
    </row>
    <row r="37" customFormat="false" ht="15" hidden="false" customHeight="true" outlineLevel="0" collapsed="false">
      <c r="A37" s="9" t="s">
        <v>175</v>
      </c>
      <c r="B37" s="9" t="s">
        <v>91</v>
      </c>
      <c r="C37" s="9" t="n">
        <v>1</v>
      </c>
      <c r="D37" s="9" t="n">
        <v>4610</v>
      </c>
      <c r="E37" s="9"/>
      <c r="F37" s="9"/>
      <c r="G37" s="9"/>
      <c r="H37" s="9"/>
      <c r="I37" s="9"/>
      <c r="J37" s="9"/>
      <c r="K37" s="9"/>
      <c r="L37" s="9"/>
      <c r="M37" s="9"/>
      <c r="N37" s="9"/>
      <c r="O37" s="9"/>
      <c r="P37" s="9" t="s">
        <v>141</v>
      </c>
      <c r="Q37" s="9" t="n">
        <v>0</v>
      </c>
      <c r="R37" s="9" t="n">
        <v>0</v>
      </c>
    </row>
    <row r="38" customFormat="false" ht="15" hidden="false" customHeight="true" outlineLevel="0" collapsed="false">
      <c r="A38" s="9" t="s">
        <v>176</v>
      </c>
      <c r="B38" s="9" t="s">
        <v>91</v>
      </c>
      <c r="C38" s="9" t="n">
        <v>1</v>
      </c>
      <c r="D38" s="9" t="n">
        <v>29378</v>
      </c>
      <c r="E38" s="9"/>
      <c r="F38" s="9"/>
      <c r="G38" s="9"/>
      <c r="H38" s="9"/>
      <c r="I38" s="9"/>
      <c r="J38" s="9"/>
      <c r="K38" s="9"/>
      <c r="L38" s="9"/>
      <c r="M38" s="9"/>
      <c r="N38" s="9" t="s">
        <v>48</v>
      </c>
      <c r="O38" s="9" t="s">
        <v>48</v>
      </c>
      <c r="P38" s="9" t="s">
        <v>139</v>
      </c>
      <c r="Q38" s="9" t="n">
        <v>1</v>
      </c>
      <c r="R38" s="9" t="n">
        <v>0</v>
      </c>
    </row>
    <row r="39" customFormat="false" ht="15" hidden="false" customHeight="true" outlineLevel="0" collapsed="false">
      <c r="A39" s="9" t="s">
        <v>177</v>
      </c>
      <c r="B39" s="9" t="s">
        <v>91</v>
      </c>
      <c r="C39" s="9" t="n">
        <v>1</v>
      </c>
      <c r="D39" s="9" t="n">
        <v>4610</v>
      </c>
      <c r="E39" s="9"/>
      <c r="F39" s="9"/>
      <c r="G39" s="9"/>
      <c r="H39" s="9"/>
      <c r="I39" s="9"/>
      <c r="J39" s="9"/>
      <c r="K39" s="9"/>
      <c r="L39" s="9"/>
      <c r="M39" s="9"/>
      <c r="N39" s="9"/>
      <c r="O39" s="9"/>
      <c r="P39" s="9" t="s">
        <v>141</v>
      </c>
      <c r="Q39" s="9" t="n">
        <v>0</v>
      </c>
      <c r="R39" s="9" t="n">
        <v>0</v>
      </c>
    </row>
    <row r="40" customFormat="false" ht="15" hidden="false" customHeight="true" outlineLevel="0" collapsed="false">
      <c r="A40" s="9" t="s">
        <v>178</v>
      </c>
      <c r="B40" s="9" t="s">
        <v>91</v>
      </c>
      <c r="C40" s="9" t="n">
        <v>1</v>
      </c>
      <c r="D40" s="9" t="n">
        <v>4610</v>
      </c>
      <c r="E40" s="9"/>
      <c r="F40" s="9"/>
      <c r="G40" s="9"/>
      <c r="H40" s="9"/>
      <c r="I40" s="9"/>
      <c r="J40" s="9"/>
      <c r="K40" s="9"/>
      <c r="L40" s="9"/>
      <c r="M40" s="9"/>
      <c r="N40" s="9"/>
      <c r="O40" s="9"/>
      <c r="P40" s="9" t="s">
        <v>141</v>
      </c>
      <c r="Q40" s="9" t="n">
        <v>0</v>
      </c>
      <c r="R40" s="9" t="n">
        <v>0</v>
      </c>
    </row>
    <row r="41" customFormat="false" ht="15" hidden="false" customHeight="true" outlineLevel="0" collapsed="false">
      <c r="A41" s="9" t="s">
        <v>179</v>
      </c>
      <c r="B41" s="9" t="s">
        <v>91</v>
      </c>
      <c r="C41" s="9" t="n">
        <v>1</v>
      </c>
      <c r="D41" s="9" t="n">
        <v>4610</v>
      </c>
      <c r="E41" s="9"/>
      <c r="F41" s="9"/>
      <c r="G41" s="9"/>
      <c r="H41" s="9"/>
      <c r="I41" s="9"/>
      <c r="J41" s="9"/>
      <c r="K41" s="9"/>
      <c r="L41" s="9"/>
      <c r="M41" s="9"/>
      <c r="N41" s="9"/>
      <c r="O41" s="9"/>
      <c r="P41" s="9" t="s">
        <v>141</v>
      </c>
      <c r="Q41" s="9" t="n">
        <v>0</v>
      </c>
      <c r="R41" s="9" t="n">
        <v>0</v>
      </c>
    </row>
    <row r="42" customFormat="false" ht="15" hidden="false" customHeight="true" outlineLevel="0" collapsed="false">
      <c r="A42" s="9" t="s">
        <v>180</v>
      </c>
      <c r="B42" s="9" t="s">
        <v>91</v>
      </c>
      <c r="C42" s="9" t="n">
        <v>1</v>
      </c>
      <c r="D42" s="9" t="n">
        <v>29378</v>
      </c>
      <c r="E42" s="9"/>
      <c r="F42" s="9"/>
      <c r="G42" s="9"/>
      <c r="H42" s="9"/>
      <c r="I42" s="9"/>
      <c r="J42" s="9"/>
      <c r="K42" s="9"/>
      <c r="L42" s="9"/>
      <c r="M42" s="9"/>
      <c r="N42" s="9" t="s">
        <v>48</v>
      </c>
      <c r="O42" s="9" t="s">
        <v>48</v>
      </c>
      <c r="P42" s="9" t="s">
        <v>139</v>
      </c>
      <c r="Q42" s="9" t="n">
        <v>1</v>
      </c>
      <c r="R42" s="9" t="n">
        <v>0</v>
      </c>
    </row>
    <row r="43" customFormat="false" ht="15" hidden="false" customHeight="true" outlineLevel="0" collapsed="false">
      <c r="A43" s="9" t="s">
        <v>181</v>
      </c>
      <c r="B43" s="9" t="s">
        <v>91</v>
      </c>
      <c r="C43" s="9" t="n">
        <v>1</v>
      </c>
      <c r="D43" s="9" t="n">
        <v>4610</v>
      </c>
      <c r="E43" s="9"/>
      <c r="F43" s="9"/>
      <c r="G43" s="9"/>
      <c r="H43" s="9"/>
      <c r="I43" s="9"/>
      <c r="J43" s="9"/>
      <c r="K43" s="9"/>
      <c r="L43" s="9"/>
      <c r="M43" s="9"/>
      <c r="N43" s="9"/>
      <c r="O43" s="9"/>
      <c r="P43" s="9" t="s">
        <v>141</v>
      </c>
      <c r="Q43" s="9" t="n">
        <v>0</v>
      </c>
      <c r="R43" s="9" t="n">
        <v>0</v>
      </c>
    </row>
    <row r="44" customFormat="false" ht="15" hidden="false" customHeight="true" outlineLevel="0" collapsed="false">
      <c r="A44" s="9" t="s">
        <v>182</v>
      </c>
      <c r="B44" s="9" t="s">
        <v>91</v>
      </c>
      <c r="C44" s="9" t="n">
        <v>0</v>
      </c>
      <c r="D44" s="9" t="n">
        <v>0</v>
      </c>
      <c r="E44" s="9"/>
      <c r="F44" s="9"/>
      <c r="G44" s="9"/>
      <c r="H44" s="9"/>
      <c r="I44" s="9"/>
      <c r="J44" s="9"/>
      <c r="K44" s="9"/>
      <c r="L44" s="9"/>
      <c r="M44" s="9"/>
      <c r="N44" s="9"/>
      <c r="O44" s="9"/>
      <c r="P44" s="9" t="s">
        <v>141</v>
      </c>
      <c r="Q44" s="9" t="n">
        <v>0</v>
      </c>
      <c r="R44" s="9" t="n">
        <v>0</v>
      </c>
    </row>
    <row r="45" customFormat="false" ht="15" hidden="false" customHeight="true" outlineLevel="0" collapsed="false">
      <c r="A45" s="9" t="s">
        <v>183</v>
      </c>
      <c r="B45" s="9" t="s">
        <v>91</v>
      </c>
      <c r="C45" s="9" t="n">
        <v>1</v>
      </c>
      <c r="D45" s="9" t="n">
        <v>46944</v>
      </c>
      <c r="E45" s="9"/>
      <c r="F45" s="9" t="s">
        <v>38</v>
      </c>
      <c r="G45" s="9"/>
      <c r="H45" s="9"/>
      <c r="I45" s="9"/>
      <c r="J45" s="9"/>
      <c r="K45" s="9"/>
      <c r="L45" s="9"/>
      <c r="M45" s="9"/>
      <c r="N45" s="9" t="s">
        <v>48</v>
      </c>
      <c r="O45" s="9" t="s">
        <v>48</v>
      </c>
      <c r="P45" s="9" t="s">
        <v>139</v>
      </c>
      <c r="Q45" s="9" t="n">
        <v>1</v>
      </c>
      <c r="R45" s="9" t="n">
        <v>1</v>
      </c>
    </row>
    <row r="46" customFormat="false" ht="15" hidden="false" customHeight="true" outlineLevel="0" collapsed="false">
      <c r="A46" s="9" t="s">
        <v>184</v>
      </c>
      <c r="B46" s="9" t="s">
        <v>91</v>
      </c>
      <c r="C46" s="9" t="n">
        <v>1</v>
      </c>
      <c r="D46" s="9" t="n">
        <v>45992</v>
      </c>
      <c r="E46" s="9"/>
      <c r="F46" s="9" t="s">
        <v>38</v>
      </c>
      <c r="G46" s="9"/>
      <c r="H46" s="9"/>
      <c r="I46" s="9"/>
      <c r="J46" s="9"/>
      <c r="K46" s="9"/>
      <c r="L46" s="9"/>
      <c r="M46" s="9"/>
      <c r="N46" s="9" t="s">
        <v>48</v>
      </c>
      <c r="O46" s="9" t="s">
        <v>48</v>
      </c>
      <c r="P46" s="9" t="s">
        <v>139</v>
      </c>
      <c r="Q46" s="9" t="n">
        <v>1</v>
      </c>
      <c r="R46" s="9" t="n">
        <v>1</v>
      </c>
    </row>
    <row r="47" customFormat="false" ht="15" hidden="false" customHeight="true" outlineLevel="0" collapsed="false">
      <c r="A47" s="9" t="s">
        <v>185</v>
      </c>
      <c r="B47" s="9" t="s">
        <v>91</v>
      </c>
      <c r="C47" s="9" t="n">
        <v>1</v>
      </c>
      <c r="D47" s="9" t="n">
        <v>4610</v>
      </c>
      <c r="E47" s="9"/>
      <c r="F47" s="9"/>
      <c r="G47" s="9"/>
      <c r="H47" s="9"/>
      <c r="I47" s="9"/>
      <c r="J47" s="9"/>
      <c r="K47" s="9"/>
      <c r="L47" s="9"/>
      <c r="M47" s="9"/>
      <c r="N47" s="9"/>
      <c r="O47" s="9"/>
      <c r="P47" s="9" t="s">
        <v>141</v>
      </c>
      <c r="Q47" s="9" t="n">
        <v>0</v>
      </c>
      <c r="R47" s="9" t="n">
        <v>0</v>
      </c>
    </row>
    <row r="48" customFormat="false" ht="15" hidden="false" customHeight="true" outlineLevel="0" collapsed="false">
      <c r="A48" s="9" t="s">
        <v>186</v>
      </c>
      <c r="B48" s="9" t="s">
        <v>91</v>
      </c>
      <c r="C48" s="9" t="n">
        <v>0</v>
      </c>
      <c r="D48" s="9" t="n">
        <v>0</v>
      </c>
      <c r="E48" s="9"/>
      <c r="F48" s="9"/>
      <c r="G48" s="9"/>
      <c r="H48" s="9"/>
      <c r="I48" s="9"/>
      <c r="J48" s="9"/>
      <c r="K48" s="9"/>
      <c r="L48" s="9"/>
      <c r="M48" s="9"/>
      <c r="N48" s="9"/>
      <c r="O48" s="9"/>
      <c r="P48" s="9" t="s">
        <v>141</v>
      </c>
      <c r="Q48" s="9" t="n">
        <v>0</v>
      </c>
      <c r="R48" s="9" t="n">
        <v>0</v>
      </c>
    </row>
    <row r="49" customFormat="false" ht="15" hidden="false" customHeight="true" outlineLevel="0" collapsed="false">
      <c r="A49" s="9" t="s">
        <v>187</v>
      </c>
      <c r="B49" s="9" t="s">
        <v>91</v>
      </c>
      <c r="C49" s="9" t="n">
        <v>0</v>
      </c>
      <c r="D49" s="9" t="n">
        <v>0</v>
      </c>
      <c r="E49" s="9"/>
      <c r="F49" s="9"/>
      <c r="G49" s="9"/>
      <c r="H49" s="9"/>
      <c r="I49" s="9"/>
      <c r="J49" s="9"/>
      <c r="K49" s="9"/>
      <c r="L49" s="9"/>
      <c r="M49" s="9"/>
      <c r="N49" s="9"/>
      <c r="O49" s="9"/>
      <c r="P49" s="9" t="s">
        <v>141</v>
      </c>
      <c r="Q49" s="9" t="n">
        <v>0</v>
      </c>
      <c r="R49" s="9" t="n">
        <v>0</v>
      </c>
    </row>
    <row r="50" customFormat="false" ht="15" hidden="false" customHeight="true" outlineLevel="0" collapsed="false">
      <c r="A50" s="9" t="s">
        <v>188</v>
      </c>
      <c r="B50" s="9" t="s">
        <v>91</v>
      </c>
      <c r="C50" s="9" t="n">
        <v>1</v>
      </c>
      <c r="D50" s="9" t="n">
        <v>46944</v>
      </c>
      <c r="E50" s="9"/>
      <c r="F50" s="9" t="s">
        <v>38</v>
      </c>
      <c r="G50" s="9"/>
      <c r="H50" s="9"/>
      <c r="I50" s="9"/>
      <c r="J50" s="9"/>
      <c r="K50" s="9"/>
      <c r="L50" s="9"/>
      <c r="M50" s="9"/>
      <c r="N50" s="9" t="s">
        <v>48</v>
      </c>
      <c r="O50" s="9" t="s">
        <v>48</v>
      </c>
      <c r="P50" s="9" t="s">
        <v>139</v>
      </c>
      <c r="Q50" s="9" t="n">
        <v>1</v>
      </c>
      <c r="R50" s="9" t="n">
        <v>1</v>
      </c>
    </row>
    <row r="51" customFormat="false" ht="15" hidden="false" customHeight="true" outlineLevel="0" collapsed="false">
      <c r="A51" s="9" t="s">
        <v>189</v>
      </c>
      <c r="B51" s="9" t="s">
        <v>91</v>
      </c>
      <c r="C51" s="9" t="n">
        <v>0</v>
      </c>
      <c r="D51" s="9" t="n">
        <v>0</v>
      </c>
      <c r="E51" s="9"/>
      <c r="F51" s="9"/>
      <c r="G51" s="9"/>
      <c r="H51" s="9"/>
      <c r="I51" s="9"/>
      <c r="J51" s="9"/>
      <c r="K51" s="9"/>
      <c r="L51" s="9"/>
      <c r="M51" s="9"/>
      <c r="N51" s="9"/>
      <c r="O51" s="9"/>
      <c r="P51" s="9" t="s">
        <v>141</v>
      </c>
      <c r="Q51" s="9" t="n">
        <v>0</v>
      </c>
      <c r="R51" s="9" t="n">
        <v>0</v>
      </c>
    </row>
    <row r="52" customFormat="false" ht="15" hidden="false" customHeight="true" outlineLevel="0" collapsed="false">
      <c r="A52" s="9" t="s">
        <v>190</v>
      </c>
      <c r="B52" s="9" t="s">
        <v>91</v>
      </c>
      <c r="C52" s="9" t="n">
        <v>1</v>
      </c>
      <c r="D52" s="9" t="n">
        <v>22022</v>
      </c>
      <c r="E52" s="9"/>
      <c r="F52" s="9" t="s">
        <v>38</v>
      </c>
      <c r="G52" s="9"/>
      <c r="H52" s="9"/>
      <c r="I52" s="9"/>
      <c r="J52" s="9"/>
      <c r="K52" s="9"/>
      <c r="L52" s="9"/>
      <c r="M52" s="9"/>
      <c r="N52" s="9"/>
      <c r="O52" s="9" t="s">
        <v>48</v>
      </c>
      <c r="P52" s="9" t="s">
        <v>139</v>
      </c>
      <c r="Q52" s="9" t="n">
        <v>1</v>
      </c>
      <c r="R52" s="9" t="n">
        <v>1</v>
      </c>
    </row>
    <row r="53" customFormat="false" ht="15" hidden="false" customHeight="true" outlineLevel="0" collapsed="false">
      <c r="A53" s="9" t="s">
        <v>191</v>
      </c>
      <c r="B53" s="9" t="s">
        <v>91</v>
      </c>
      <c r="C53" s="9" t="n">
        <v>1</v>
      </c>
      <c r="D53" s="9" t="n">
        <v>46944</v>
      </c>
      <c r="E53" s="9"/>
      <c r="F53" s="9" t="s">
        <v>38</v>
      </c>
      <c r="G53" s="9"/>
      <c r="H53" s="9"/>
      <c r="I53" s="9"/>
      <c r="J53" s="9"/>
      <c r="K53" s="9"/>
      <c r="L53" s="9"/>
      <c r="M53" s="9"/>
      <c r="N53" s="9" t="s">
        <v>48</v>
      </c>
      <c r="O53" s="9" t="s">
        <v>48</v>
      </c>
      <c r="P53" s="9" t="s">
        <v>139</v>
      </c>
      <c r="Q53" s="9" t="n">
        <v>1</v>
      </c>
      <c r="R53" s="9" t="n">
        <v>1</v>
      </c>
    </row>
    <row r="54" customFormat="false" ht="15" hidden="false" customHeight="true" outlineLevel="0" collapsed="false">
      <c r="A54" s="9" t="s">
        <v>192</v>
      </c>
      <c r="B54" s="9" t="s">
        <v>91</v>
      </c>
      <c r="C54" s="9" t="n">
        <v>1</v>
      </c>
      <c r="D54" s="9" t="n">
        <v>4610</v>
      </c>
      <c r="E54" s="9"/>
      <c r="F54" s="9"/>
      <c r="G54" s="9"/>
      <c r="H54" s="9"/>
      <c r="I54" s="9"/>
      <c r="J54" s="9"/>
      <c r="K54" s="9"/>
      <c r="L54" s="9"/>
      <c r="M54" s="9"/>
      <c r="N54" s="9"/>
      <c r="O54" s="9"/>
      <c r="P54" s="9" t="s">
        <v>141</v>
      </c>
      <c r="Q54" s="9" t="n">
        <v>0</v>
      </c>
      <c r="R54" s="9" t="n">
        <v>0</v>
      </c>
    </row>
    <row r="55" customFormat="false" ht="15" hidden="false" customHeight="true" outlineLevel="0" collapsed="false">
      <c r="A55" s="9" t="s">
        <v>193</v>
      </c>
      <c r="B55" s="9" t="s">
        <v>91</v>
      </c>
      <c r="C55" s="9" t="n">
        <v>1</v>
      </c>
      <c r="D55" s="9" t="n">
        <v>4610</v>
      </c>
      <c r="E55" s="9"/>
      <c r="F55" s="9"/>
      <c r="G55" s="9"/>
      <c r="H55" s="9"/>
      <c r="I55" s="9"/>
      <c r="J55" s="9"/>
      <c r="K55" s="9"/>
      <c r="L55" s="9"/>
      <c r="M55" s="9"/>
      <c r="N55" s="9"/>
      <c r="O55" s="9"/>
      <c r="P55" s="9" t="s">
        <v>141</v>
      </c>
      <c r="Q55" s="9" t="n">
        <v>0</v>
      </c>
      <c r="R55" s="9" t="n">
        <v>0</v>
      </c>
    </row>
    <row r="56" customFormat="false" ht="15" hidden="false" customHeight="true" outlineLevel="0" collapsed="false">
      <c r="A56" s="9" t="s">
        <v>194</v>
      </c>
      <c r="B56" s="9" t="s">
        <v>91</v>
      </c>
      <c r="C56" s="9" t="n">
        <v>0</v>
      </c>
      <c r="D56" s="9" t="n">
        <v>0</v>
      </c>
      <c r="E56" s="9"/>
      <c r="F56" s="9"/>
      <c r="G56" s="9"/>
      <c r="H56" s="9"/>
      <c r="I56" s="9"/>
      <c r="J56" s="9"/>
      <c r="K56" s="9"/>
      <c r="L56" s="9"/>
      <c r="M56" s="9"/>
      <c r="N56" s="9"/>
      <c r="O56" s="9"/>
      <c r="P56" s="9" t="s">
        <v>141</v>
      </c>
      <c r="Q56" s="9" t="n">
        <v>0</v>
      </c>
      <c r="R56" s="9" t="n">
        <v>0</v>
      </c>
    </row>
    <row r="57" customFormat="false" ht="15" hidden="false" customHeight="true" outlineLevel="0" collapsed="false">
      <c r="A57" s="9" t="s">
        <v>195</v>
      </c>
      <c r="B57" s="9" t="s">
        <v>91</v>
      </c>
      <c r="C57" s="9" t="n">
        <v>1</v>
      </c>
      <c r="D57" s="9" t="n">
        <v>22022</v>
      </c>
      <c r="E57" s="9"/>
      <c r="F57" s="9" t="s">
        <v>38</v>
      </c>
      <c r="G57" s="9"/>
      <c r="H57" s="9"/>
      <c r="I57" s="9"/>
      <c r="J57" s="9"/>
      <c r="K57" s="9"/>
      <c r="L57" s="9"/>
      <c r="M57" s="9"/>
      <c r="N57" s="9"/>
      <c r="O57" s="9" t="s">
        <v>48</v>
      </c>
      <c r="P57" s="9" t="s">
        <v>139</v>
      </c>
      <c r="Q57" s="9" t="n">
        <v>1</v>
      </c>
      <c r="R57" s="9" t="n">
        <v>1</v>
      </c>
    </row>
    <row r="58" customFormat="false" ht="15" hidden="false" customHeight="true" outlineLevel="0" collapsed="false">
      <c r="A58" s="9" t="s">
        <v>196</v>
      </c>
      <c r="B58" s="9" t="s">
        <v>91</v>
      </c>
      <c r="C58" s="9" t="n">
        <v>1</v>
      </c>
      <c r="D58" s="9" t="n">
        <v>22022</v>
      </c>
      <c r="E58" s="9"/>
      <c r="F58" s="9" t="s">
        <v>38</v>
      </c>
      <c r="G58" s="9"/>
      <c r="H58" s="9"/>
      <c r="I58" s="9"/>
      <c r="J58" s="9"/>
      <c r="K58" s="9"/>
      <c r="L58" s="9"/>
      <c r="M58" s="9"/>
      <c r="N58" s="9"/>
      <c r="O58" s="9" t="s">
        <v>48</v>
      </c>
      <c r="P58" s="9" t="s">
        <v>139</v>
      </c>
      <c r="Q58" s="9" t="n">
        <v>1</v>
      </c>
      <c r="R58" s="9" t="n">
        <v>1</v>
      </c>
    </row>
    <row r="59" customFormat="false" ht="15" hidden="false" customHeight="true" outlineLevel="0" collapsed="false">
      <c r="A59" s="9" t="s">
        <v>197</v>
      </c>
      <c r="B59" s="9" t="s">
        <v>91</v>
      </c>
      <c r="C59" s="9" t="n">
        <v>1</v>
      </c>
      <c r="D59" s="9" t="n">
        <v>22022</v>
      </c>
      <c r="E59" s="9"/>
      <c r="F59" s="9" t="s">
        <v>38</v>
      </c>
      <c r="G59" s="9"/>
      <c r="H59" s="9"/>
      <c r="I59" s="9"/>
      <c r="J59" s="9"/>
      <c r="K59" s="9"/>
      <c r="L59" s="9"/>
      <c r="M59" s="9"/>
      <c r="N59" s="9"/>
      <c r="O59" s="9" t="s">
        <v>48</v>
      </c>
      <c r="P59" s="9" t="s">
        <v>139</v>
      </c>
      <c r="Q59" s="9" t="n">
        <v>1</v>
      </c>
      <c r="R59" s="9" t="n">
        <v>1</v>
      </c>
    </row>
    <row r="60" customFormat="false" ht="15" hidden="false" customHeight="true" outlineLevel="0" collapsed="false">
      <c r="A60" s="9" t="s">
        <v>198</v>
      </c>
      <c r="B60" s="9" t="s">
        <v>91</v>
      </c>
      <c r="C60" s="9" t="n">
        <v>1</v>
      </c>
      <c r="D60" s="9" t="n">
        <v>45992</v>
      </c>
      <c r="E60" s="9"/>
      <c r="F60" s="9" t="s">
        <v>38</v>
      </c>
      <c r="G60" s="9"/>
      <c r="H60" s="9"/>
      <c r="I60" s="9"/>
      <c r="J60" s="9"/>
      <c r="K60" s="9"/>
      <c r="L60" s="9"/>
      <c r="M60" s="9"/>
      <c r="N60" s="9" t="s">
        <v>48</v>
      </c>
      <c r="O60" s="9" t="s">
        <v>48</v>
      </c>
      <c r="P60" s="9" t="s">
        <v>139</v>
      </c>
      <c r="Q60" s="9" t="n">
        <v>1</v>
      </c>
      <c r="R60" s="9" t="n">
        <v>1</v>
      </c>
    </row>
    <row r="61" customFormat="false" ht="15" hidden="false" customHeight="true" outlineLevel="0" collapsed="false">
      <c r="A61" s="9" t="s">
        <v>199</v>
      </c>
      <c r="B61" s="9" t="s">
        <v>91</v>
      </c>
      <c r="C61" s="9" t="n">
        <v>1</v>
      </c>
      <c r="D61" s="9" t="n">
        <v>4610</v>
      </c>
      <c r="E61" s="9"/>
      <c r="F61" s="9"/>
      <c r="G61" s="9"/>
      <c r="H61" s="9"/>
      <c r="I61" s="9"/>
      <c r="J61" s="9"/>
      <c r="K61" s="9"/>
      <c r="L61" s="9"/>
      <c r="M61" s="9"/>
      <c r="N61" s="9"/>
      <c r="O61" s="9"/>
      <c r="P61" s="9" t="s">
        <v>141</v>
      </c>
      <c r="Q61" s="9" t="n">
        <v>0</v>
      </c>
      <c r="R61" s="9" t="n">
        <v>0</v>
      </c>
    </row>
    <row r="62" customFormat="false" ht="15" hidden="false" customHeight="true" outlineLevel="0" collapsed="false">
      <c r="A62" s="9" t="s">
        <v>200</v>
      </c>
      <c r="B62" s="9" t="s">
        <v>91</v>
      </c>
      <c r="C62" s="9" t="n">
        <v>0</v>
      </c>
      <c r="D62" s="9" t="n">
        <v>0</v>
      </c>
      <c r="E62" s="9"/>
      <c r="F62" s="9"/>
      <c r="G62" s="9"/>
      <c r="H62" s="9"/>
      <c r="I62" s="9"/>
      <c r="J62" s="9"/>
      <c r="K62" s="9"/>
      <c r="L62" s="9"/>
      <c r="M62" s="9"/>
      <c r="N62" s="9"/>
      <c r="O62" s="9"/>
      <c r="P62" s="9" t="s">
        <v>141</v>
      </c>
      <c r="Q62" s="9" t="n">
        <v>0</v>
      </c>
      <c r="R62" s="9" t="n">
        <v>0</v>
      </c>
    </row>
    <row r="63" customFormat="false" ht="15" hidden="false" customHeight="true" outlineLevel="0" collapsed="false">
      <c r="A63" s="9" t="s">
        <v>201</v>
      </c>
      <c r="B63" s="9" t="s">
        <v>91</v>
      </c>
      <c r="C63" s="9" t="n">
        <v>1</v>
      </c>
      <c r="D63" s="9" t="n">
        <v>22022</v>
      </c>
      <c r="E63" s="9"/>
      <c r="F63" s="9" t="s">
        <v>38</v>
      </c>
      <c r="G63" s="9"/>
      <c r="H63" s="9"/>
      <c r="I63" s="9"/>
      <c r="J63" s="9"/>
      <c r="K63" s="9"/>
      <c r="L63" s="9"/>
      <c r="M63" s="9"/>
      <c r="N63" s="9"/>
      <c r="O63" s="9" t="s">
        <v>48</v>
      </c>
      <c r="P63" s="9" t="s">
        <v>139</v>
      </c>
      <c r="Q63" s="9" t="n">
        <v>1</v>
      </c>
      <c r="R63" s="9" t="n">
        <v>1</v>
      </c>
    </row>
    <row r="64" customFormat="false" ht="15" hidden="false" customHeight="true" outlineLevel="0" collapsed="false">
      <c r="A64" s="9" t="s">
        <v>202</v>
      </c>
      <c r="B64" s="9" t="s">
        <v>91</v>
      </c>
      <c r="C64" s="9" t="n">
        <v>1</v>
      </c>
      <c r="D64" s="9" t="n">
        <v>78530</v>
      </c>
      <c r="E64" s="9"/>
      <c r="F64" s="9"/>
      <c r="G64" s="9"/>
      <c r="H64" s="9"/>
      <c r="I64" s="9"/>
      <c r="J64" s="9"/>
      <c r="K64" s="9"/>
      <c r="L64" s="9"/>
      <c r="M64" s="9"/>
      <c r="N64" s="9" t="s">
        <v>48</v>
      </c>
      <c r="O64" s="9" t="s">
        <v>48</v>
      </c>
      <c r="P64" s="9" t="s">
        <v>139</v>
      </c>
      <c r="Q64" s="9" t="n">
        <v>1</v>
      </c>
      <c r="R64" s="9" t="n">
        <v>0</v>
      </c>
    </row>
    <row r="65" customFormat="false" ht="15" hidden="false" customHeight="true" outlineLevel="0" collapsed="false">
      <c r="A65" s="9" t="s">
        <v>203</v>
      </c>
      <c r="B65" s="9" t="s">
        <v>91</v>
      </c>
      <c r="C65" s="9" t="n">
        <v>1</v>
      </c>
      <c r="D65" s="9" t="n">
        <v>46944</v>
      </c>
      <c r="E65" s="9"/>
      <c r="F65" s="9" t="s">
        <v>38</v>
      </c>
      <c r="G65" s="9"/>
      <c r="H65" s="9"/>
      <c r="I65" s="9"/>
      <c r="J65" s="9"/>
      <c r="K65" s="9"/>
      <c r="L65" s="9"/>
      <c r="M65" s="9"/>
      <c r="N65" s="9" t="s">
        <v>48</v>
      </c>
      <c r="O65" s="9" t="s">
        <v>48</v>
      </c>
      <c r="P65" s="9" t="s">
        <v>139</v>
      </c>
      <c r="Q65" s="9" t="n">
        <v>1</v>
      </c>
      <c r="R65" s="9" t="n">
        <v>1</v>
      </c>
    </row>
    <row r="66" customFormat="false" ht="15" hidden="false" customHeight="true" outlineLevel="0" collapsed="false">
      <c r="A66" s="9" t="s">
        <v>204</v>
      </c>
      <c r="B66" s="9" t="s">
        <v>91</v>
      </c>
      <c r="C66" s="9" t="n">
        <v>1</v>
      </c>
      <c r="D66" s="9" t="n">
        <v>4610</v>
      </c>
      <c r="E66" s="9"/>
      <c r="F66" s="9"/>
      <c r="G66" s="9"/>
      <c r="H66" s="9"/>
      <c r="I66" s="9"/>
      <c r="J66" s="9"/>
      <c r="K66" s="9"/>
      <c r="L66" s="9"/>
      <c r="M66" s="9"/>
      <c r="N66" s="9"/>
      <c r="O66" s="9"/>
      <c r="P66" s="9" t="s">
        <v>141</v>
      </c>
      <c r="Q66" s="9" t="n">
        <v>0</v>
      </c>
      <c r="R66" s="9" t="n">
        <v>0</v>
      </c>
    </row>
    <row r="67" customFormat="false" ht="15" hidden="false" customHeight="true" outlineLevel="0" collapsed="false">
      <c r="A67" s="9" t="s">
        <v>205</v>
      </c>
      <c r="B67" s="9" t="s">
        <v>91</v>
      </c>
      <c r="C67" s="9" t="n">
        <v>1</v>
      </c>
      <c r="D67" s="9" t="n">
        <v>46944</v>
      </c>
      <c r="E67" s="9"/>
      <c r="F67" s="9" t="s">
        <v>38</v>
      </c>
      <c r="G67" s="9"/>
      <c r="H67" s="9"/>
      <c r="I67" s="9"/>
      <c r="J67" s="9"/>
      <c r="K67" s="9"/>
      <c r="L67" s="9"/>
      <c r="M67" s="9"/>
      <c r="N67" s="9" t="s">
        <v>48</v>
      </c>
      <c r="O67" s="9" t="s">
        <v>48</v>
      </c>
      <c r="P67" s="9" t="s">
        <v>139</v>
      </c>
      <c r="Q67" s="9" t="n">
        <v>1</v>
      </c>
      <c r="R67" s="9" t="n">
        <v>1</v>
      </c>
    </row>
    <row r="68" customFormat="false" ht="15" hidden="false" customHeight="true" outlineLevel="0" collapsed="false">
      <c r="A68" s="9" t="s">
        <v>206</v>
      </c>
      <c r="B68" s="9" t="s">
        <v>91</v>
      </c>
      <c r="C68" s="9" t="n">
        <v>1</v>
      </c>
      <c r="D68" s="9" t="n">
        <v>22022</v>
      </c>
      <c r="E68" s="9"/>
      <c r="F68" s="9" t="s">
        <v>38</v>
      </c>
      <c r="G68" s="9"/>
      <c r="H68" s="9"/>
      <c r="I68" s="9"/>
      <c r="J68" s="9"/>
      <c r="K68" s="9"/>
      <c r="L68" s="9"/>
      <c r="M68" s="9"/>
      <c r="N68" s="9"/>
      <c r="O68" s="9" t="s">
        <v>48</v>
      </c>
      <c r="P68" s="9" t="s">
        <v>139</v>
      </c>
      <c r="Q68" s="9" t="n">
        <v>1</v>
      </c>
      <c r="R68" s="9" t="n">
        <v>1</v>
      </c>
    </row>
    <row r="69" customFormat="false" ht="15" hidden="false" customHeight="true" outlineLevel="0" collapsed="false">
      <c r="A69" s="9" t="s">
        <v>207</v>
      </c>
      <c r="B69" s="9" t="s">
        <v>91</v>
      </c>
      <c r="C69" s="9" t="n">
        <v>1</v>
      </c>
      <c r="D69" s="9" t="n">
        <v>4610</v>
      </c>
      <c r="E69" s="9"/>
      <c r="F69" s="9"/>
      <c r="G69" s="9"/>
      <c r="H69" s="9"/>
      <c r="I69" s="9"/>
      <c r="J69" s="9"/>
      <c r="K69" s="9"/>
      <c r="L69" s="9"/>
      <c r="M69" s="9"/>
      <c r="N69" s="9"/>
      <c r="O69" s="9"/>
      <c r="P69" s="9" t="s">
        <v>141</v>
      </c>
      <c r="Q69" s="9" t="n">
        <v>0</v>
      </c>
      <c r="R69" s="9" t="n">
        <v>0</v>
      </c>
    </row>
    <row r="70" customFormat="false" ht="15" hidden="false" customHeight="true" outlineLevel="0" collapsed="false">
      <c r="A70" s="9" t="s">
        <v>208</v>
      </c>
      <c r="B70" s="9" t="s">
        <v>91</v>
      </c>
      <c r="C70" s="9" t="n">
        <v>1</v>
      </c>
      <c r="D70" s="9" t="n">
        <v>4610</v>
      </c>
      <c r="E70" s="9"/>
      <c r="F70" s="9"/>
      <c r="G70" s="9"/>
      <c r="H70" s="9"/>
      <c r="I70" s="9"/>
      <c r="J70" s="9"/>
      <c r="K70" s="9"/>
      <c r="L70" s="9"/>
      <c r="M70" s="9"/>
      <c r="N70" s="9"/>
      <c r="O70" s="9"/>
      <c r="P70" s="9" t="s">
        <v>141</v>
      </c>
      <c r="Q70" s="9" t="n">
        <v>0</v>
      </c>
      <c r="R70" s="9" t="n">
        <v>0</v>
      </c>
    </row>
    <row r="71" customFormat="false" ht="15" hidden="false" customHeight="true" outlineLevel="0" collapsed="false">
      <c r="A71" s="9" t="s">
        <v>209</v>
      </c>
      <c r="B71" s="9" t="s">
        <v>91</v>
      </c>
      <c r="C71" s="9" t="n">
        <v>1</v>
      </c>
      <c r="D71" s="9" t="n">
        <v>22022</v>
      </c>
      <c r="E71" s="9"/>
      <c r="F71" s="9" t="s">
        <v>38</v>
      </c>
      <c r="G71" s="9"/>
      <c r="H71" s="9"/>
      <c r="I71" s="9"/>
      <c r="J71" s="9"/>
      <c r="K71" s="9"/>
      <c r="L71" s="9"/>
      <c r="M71" s="9"/>
      <c r="N71" s="9"/>
      <c r="O71" s="9" t="s">
        <v>48</v>
      </c>
      <c r="P71" s="9" t="s">
        <v>139</v>
      </c>
      <c r="Q71" s="9" t="n">
        <v>1</v>
      </c>
      <c r="R71" s="9" t="n">
        <v>1</v>
      </c>
    </row>
    <row r="72" customFormat="false" ht="15" hidden="false" customHeight="true" outlineLevel="0" collapsed="false">
      <c r="A72" s="9" t="s">
        <v>210</v>
      </c>
      <c r="B72" s="9" t="s">
        <v>91</v>
      </c>
      <c r="C72" s="9" t="n">
        <v>1</v>
      </c>
      <c r="D72" s="9" t="n">
        <v>45992</v>
      </c>
      <c r="E72" s="9"/>
      <c r="F72" s="9" t="s">
        <v>38</v>
      </c>
      <c r="G72" s="9"/>
      <c r="H72" s="9"/>
      <c r="I72" s="9"/>
      <c r="J72" s="9"/>
      <c r="K72" s="9"/>
      <c r="L72" s="9"/>
      <c r="M72" s="9"/>
      <c r="N72" s="9" t="s">
        <v>48</v>
      </c>
      <c r="O72" s="9" t="s">
        <v>48</v>
      </c>
      <c r="P72" s="9" t="s">
        <v>139</v>
      </c>
      <c r="Q72" s="9" t="n">
        <v>1</v>
      </c>
      <c r="R72" s="9" t="n">
        <v>1</v>
      </c>
    </row>
    <row r="73" customFormat="false" ht="15" hidden="false" customHeight="true" outlineLevel="0" collapsed="false">
      <c r="A73" s="9" t="s">
        <v>211</v>
      </c>
      <c r="B73" s="9" t="s">
        <v>91</v>
      </c>
      <c r="C73" s="9" t="n">
        <v>1</v>
      </c>
      <c r="D73" s="9" t="n">
        <v>4610</v>
      </c>
      <c r="E73" s="9"/>
      <c r="F73" s="9"/>
      <c r="G73" s="9"/>
      <c r="H73" s="9"/>
      <c r="I73" s="9"/>
      <c r="J73" s="9"/>
      <c r="K73" s="9"/>
      <c r="L73" s="9"/>
      <c r="M73" s="9"/>
      <c r="N73" s="9"/>
      <c r="O73" s="9"/>
      <c r="P73" s="9" t="s">
        <v>141</v>
      </c>
      <c r="Q73" s="9" t="n">
        <v>0</v>
      </c>
      <c r="R73" s="9" t="n">
        <v>0</v>
      </c>
    </row>
    <row r="74" customFormat="false" ht="15" hidden="false" customHeight="true" outlineLevel="0" collapsed="false">
      <c r="A74" s="9" t="s">
        <v>212</v>
      </c>
      <c r="B74" s="9" t="s">
        <v>91</v>
      </c>
      <c r="C74" s="9" t="n">
        <v>1</v>
      </c>
      <c r="D74" s="9" t="n">
        <v>4610</v>
      </c>
      <c r="E74" s="9"/>
      <c r="F74" s="9"/>
      <c r="G74" s="9"/>
      <c r="H74" s="9"/>
      <c r="I74" s="9"/>
      <c r="J74" s="9"/>
      <c r="K74" s="9"/>
      <c r="L74" s="9"/>
      <c r="M74" s="9"/>
      <c r="N74" s="9"/>
      <c r="O74" s="9"/>
      <c r="P74" s="9" t="s">
        <v>141</v>
      </c>
      <c r="Q74" s="9" t="n">
        <v>0</v>
      </c>
      <c r="R74" s="9" t="n">
        <v>0</v>
      </c>
    </row>
    <row r="75" customFormat="false" ht="15" hidden="false" customHeight="true" outlineLevel="0" collapsed="false">
      <c r="A75" s="9" t="s">
        <v>213</v>
      </c>
      <c r="B75" s="9" t="s">
        <v>91</v>
      </c>
      <c r="C75" s="9" t="n">
        <v>1</v>
      </c>
      <c r="D75" s="9" t="n">
        <v>46944</v>
      </c>
      <c r="E75" s="9"/>
      <c r="F75" s="9" t="s">
        <v>38</v>
      </c>
      <c r="G75" s="9"/>
      <c r="H75" s="9"/>
      <c r="I75" s="9"/>
      <c r="J75" s="9"/>
      <c r="K75" s="9"/>
      <c r="L75" s="9"/>
      <c r="M75" s="9"/>
      <c r="N75" s="9" t="s">
        <v>48</v>
      </c>
      <c r="O75" s="9" t="s">
        <v>48</v>
      </c>
      <c r="P75" s="9" t="s">
        <v>139</v>
      </c>
      <c r="Q75" s="9" t="n">
        <v>1</v>
      </c>
      <c r="R75" s="9" t="n">
        <v>1</v>
      </c>
    </row>
    <row r="76" customFormat="false" ht="15" hidden="false" customHeight="true" outlineLevel="0" collapsed="false">
      <c r="A76" s="9" t="s">
        <v>214</v>
      </c>
      <c r="B76" s="9" t="s">
        <v>91</v>
      </c>
      <c r="C76" s="9" t="n">
        <v>1</v>
      </c>
      <c r="D76" s="9" t="n">
        <v>22022</v>
      </c>
      <c r="E76" s="9"/>
      <c r="F76" s="9" t="s">
        <v>38</v>
      </c>
      <c r="G76" s="9"/>
      <c r="H76" s="9"/>
      <c r="I76" s="9"/>
      <c r="J76" s="9"/>
      <c r="K76" s="9"/>
      <c r="L76" s="9"/>
      <c r="M76" s="9"/>
      <c r="N76" s="9"/>
      <c r="O76" s="9" t="s">
        <v>48</v>
      </c>
      <c r="P76" s="9" t="s">
        <v>139</v>
      </c>
      <c r="Q76" s="9" t="n">
        <v>1</v>
      </c>
      <c r="R76" s="9" t="n">
        <v>1</v>
      </c>
    </row>
    <row r="77" customFormat="false" ht="15" hidden="false" customHeight="true" outlineLevel="0" collapsed="false">
      <c r="A77" s="9" t="s">
        <v>215</v>
      </c>
      <c r="B77" s="9" t="s">
        <v>91</v>
      </c>
      <c r="C77" s="9" t="n">
        <v>1</v>
      </c>
      <c r="D77" s="9" t="n">
        <v>45992</v>
      </c>
      <c r="E77" s="9"/>
      <c r="F77" s="9" t="s">
        <v>38</v>
      </c>
      <c r="G77" s="9"/>
      <c r="H77" s="9"/>
      <c r="I77" s="9"/>
      <c r="J77" s="9"/>
      <c r="K77" s="9"/>
      <c r="L77" s="9"/>
      <c r="M77" s="9"/>
      <c r="N77" s="9" t="s">
        <v>48</v>
      </c>
      <c r="O77" s="9" t="s">
        <v>48</v>
      </c>
      <c r="P77" s="9" t="s">
        <v>139</v>
      </c>
      <c r="Q77" s="9" t="n">
        <v>1</v>
      </c>
      <c r="R77" s="9" t="n">
        <v>1</v>
      </c>
    </row>
    <row r="78" customFormat="false" ht="15" hidden="false" customHeight="true" outlineLevel="0" collapsed="false">
      <c r="A78" s="9" t="s">
        <v>216</v>
      </c>
      <c r="B78" s="9" t="s">
        <v>91</v>
      </c>
      <c r="C78" s="9" t="n">
        <v>1</v>
      </c>
      <c r="D78" s="9" t="n">
        <v>46944</v>
      </c>
      <c r="E78" s="9"/>
      <c r="F78" s="9" t="s">
        <v>38</v>
      </c>
      <c r="G78" s="9"/>
      <c r="H78" s="9"/>
      <c r="I78" s="9"/>
      <c r="J78" s="9"/>
      <c r="K78" s="9"/>
      <c r="L78" s="9"/>
      <c r="M78" s="9"/>
      <c r="N78" s="9" t="s">
        <v>48</v>
      </c>
      <c r="O78" s="9" t="s">
        <v>48</v>
      </c>
      <c r="P78" s="9" t="s">
        <v>139</v>
      </c>
      <c r="Q78" s="9" t="n">
        <v>1</v>
      </c>
      <c r="R78" s="9" t="n">
        <v>1</v>
      </c>
    </row>
    <row r="79" customFormat="false" ht="15" hidden="false" customHeight="true" outlineLevel="0" collapsed="false">
      <c r="A79" s="9" t="s">
        <v>217</v>
      </c>
      <c r="B79" s="9" t="s">
        <v>91</v>
      </c>
      <c r="C79" s="9" t="n">
        <v>0</v>
      </c>
      <c r="D79" s="9" t="n">
        <v>0</v>
      </c>
      <c r="E79" s="9"/>
      <c r="F79" s="9"/>
      <c r="G79" s="9"/>
      <c r="H79" s="9"/>
      <c r="I79" s="9"/>
      <c r="J79" s="9"/>
      <c r="K79" s="9"/>
      <c r="L79" s="9"/>
      <c r="M79" s="9"/>
      <c r="N79" s="9"/>
      <c r="O79" s="9"/>
      <c r="P79" s="9" t="s">
        <v>141</v>
      </c>
      <c r="Q79" s="9" t="n">
        <v>0</v>
      </c>
      <c r="R79" s="9" t="n">
        <v>0</v>
      </c>
    </row>
    <row r="80" customFormat="false" ht="15" hidden="false" customHeight="true" outlineLevel="0" collapsed="false">
      <c r="A80" s="9" t="s">
        <v>218</v>
      </c>
      <c r="B80" s="9" t="s">
        <v>91</v>
      </c>
      <c r="C80" s="9" t="n">
        <v>0</v>
      </c>
      <c r="D80" s="9" t="n">
        <v>0</v>
      </c>
      <c r="E80" s="9"/>
      <c r="F80" s="9"/>
      <c r="G80" s="9"/>
      <c r="H80" s="9"/>
      <c r="I80" s="9"/>
      <c r="J80" s="9"/>
      <c r="K80" s="9"/>
      <c r="L80" s="9"/>
      <c r="M80" s="9"/>
      <c r="N80" s="9"/>
      <c r="O80" s="9"/>
      <c r="P80" s="9" t="s">
        <v>141</v>
      </c>
      <c r="Q80" s="9" t="n">
        <v>0</v>
      </c>
      <c r="R80" s="9" t="n">
        <v>0</v>
      </c>
    </row>
    <row r="81" customFormat="false" ht="15" hidden="false" customHeight="true" outlineLevel="0" collapsed="false">
      <c r="A81" s="9" t="s">
        <v>219</v>
      </c>
      <c r="B81" s="9" t="s">
        <v>91</v>
      </c>
      <c r="C81" s="9" t="n">
        <v>1</v>
      </c>
      <c r="D81" s="9" t="n">
        <v>4610</v>
      </c>
      <c r="E81" s="9"/>
      <c r="F81" s="9"/>
      <c r="G81" s="9"/>
      <c r="H81" s="9"/>
      <c r="I81" s="9"/>
      <c r="J81" s="9"/>
      <c r="K81" s="9"/>
      <c r="L81" s="9"/>
      <c r="M81" s="9"/>
      <c r="N81" s="9"/>
      <c r="O81" s="9"/>
      <c r="P81" s="9" t="s">
        <v>141</v>
      </c>
      <c r="Q81" s="9" t="n">
        <v>0</v>
      </c>
      <c r="R81" s="9" t="n">
        <v>0</v>
      </c>
    </row>
    <row r="82" customFormat="false" ht="15" hidden="false" customHeight="true" outlineLevel="0" collapsed="false">
      <c r="A82" s="9" t="s">
        <v>220</v>
      </c>
      <c r="B82" s="9" t="s">
        <v>91</v>
      </c>
      <c r="C82" s="9" t="n">
        <v>0</v>
      </c>
      <c r="D82" s="9" t="n">
        <v>0</v>
      </c>
      <c r="E82" s="9"/>
      <c r="F82" s="9"/>
      <c r="G82" s="9"/>
      <c r="H82" s="9"/>
      <c r="I82" s="9"/>
      <c r="J82" s="9"/>
      <c r="K82" s="9"/>
      <c r="L82" s="9"/>
      <c r="M82" s="9"/>
      <c r="N82" s="9"/>
      <c r="O82" s="9"/>
      <c r="P82" s="9" t="s">
        <v>141</v>
      </c>
      <c r="Q82" s="9" t="n">
        <v>0</v>
      </c>
      <c r="R82" s="9" t="n">
        <v>0</v>
      </c>
    </row>
    <row r="83" customFormat="false" ht="15" hidden="false" customHeight="true" outlineLevel="0" collapsed="false">
      <c r="A83" s="9" t="s">
        <v>221</v>
      </c>
      <c r="B83" s="9" t="s">
        <v>91</v>
      </c>
      <c r="C83" s="9" t="n">
        <v>1</v>
      </c>
      <c r="D83" s="9" t="n">
        <v>45992</v>
      </c>
      <c r="E83" s="9"/>
      <c r="F83" s="9" t="s">
        <v>38</v>
      </c>
      <c r="G83" s="9"/>
      <c r="H83" s="9"/>
      <c r="I83" s="9"/>
      <c r="J83" s="9"/>
      <c r="K83" s="9"/>
      <c r="L83" s="9"/>
      <c r="M83" s="9"/>
      <c r="N83" s="9" t="s">
        <v>48</v>
      </c>
      <c r="O83" s="9" t="s">
        <v>48</v>
      </c>
      <c r="P83" s="9" t="s">
        <v>139</v>
      </c>
      <c r="Q83" s="9" t="n">
        <v>1</v>
      </c>
      <c r="R83" s="9" t="n">
        <v>1</v>
      </c>
    </row>
    <row r="84" customFormat="false" ht="15" hidden="false" customHeight="true" outlineLevel="0" collapsed="false">
      <c r="A84" s="9" t="s">
        <v>222</v>
      </c>
      <c r="B84" s="9" t="s">
        <v>91</v>
      </c>
      <c r="C84" s="9" t="n">
        <v>1</v>
      </c>
      <c r="D84" s="9" t="n">
        <v>4610</v>
      </c>
      <c r="E84" s="9"/>
      <c r="F84" s="9"/>
      <c r="G84" s="9"/>
      <c r="H84" s="9"/>
      <c r="I84" s="9"/>
      <c r="J84" s="9"/>
      <c r="K84" s="9"/>
      <c r="L84" s="9"/>
      <c r="M84" s="9"/>
      <c r="N84" s="9"/>
      <c r="O84" s="9"/>
      <c r="P84" s="9" t="s">
        <v>141</v>
      </c>
      <c r="Q84" s="9" t="n">
        <v>0</v>
      </c>
      <c r="R84" s="9" t="n">
        <v>0</v>
      </c>
    </row>
    <row r="85" customFormat="false" ht="15" hidden="false" customHeight="true" outlineLevel="0" collapsed="false">
      <c r="A85" s="9" t="s">
        <v>223</v>
      </c>
      <c r="B85" s="9" t="s">
        <v>91</v>
      </c>
      <c r="C85" s="9" t="n">
        <v>1</v>
      </c>
      <c r="D85" s="9" t="n">
        <v>46944</v>
      </c>
      <c r="E85" s="9"/>
      <c r="F85" s="9" t="s">
        <v>38</v>
      </c>
      <c r="G85" s="9"/>
      <c r="H85" s="9"/>
      <c r="I85" s="9"/>
      <c r="J85" s="9"/>
      <c r="K85" s="9"/>
      <c r="L85" s="9"/>
      <c r="M85" s="9"/>
      <c r="N85" s="9" t="s">
        <v>48</v>
      </c>
      <c r="O85" s="9" t="s">
        <v>48</v>
      </c>
      <c r="P85" s="9" t="s">
        <v>139</v>
      </c>
      <c r="Q85" s="9" t="n">
        <v>1</v>
      </c>
      <c r="R85" s="9" t="n">
        <v>1</v>
      </c>
    </row>
    <row r="86" customFormat="false" ht="15" hidden="false" customHeight="true" outlineLevel="0" collapsed="false">
      <c r="A86" s="9" t="s">
        <v>224</v>
      </c>
      <c r="B86" s="9" t="s">
        <v>91</v>
      </c>
      <c r="C86" s="9" t="n">
        <v>1</v>
      </c>
      <c r="D86" s="9" t="n">
        <v>4610</v>
      </c>
      <c r="E86" s="9"/>
      <c r="F86" s="9"/>
      <c r="G86" s="9"/>
      <c r="H86" s="9"/>
      <c r="I86" s="9"/>
      <c r="J86" s="9"/>
      <c r="K86" s="9"/>
      <c r="L86" s="9"/>
      <c r="M86" s="9"/>
      <c r="N86" s="9"/>
      <c r="O86" s="9"/>
      <c r="P86" s="9" t="s">
        <v>141</v>
      </c>
      <c r="Q86" s="9" t="n">
        <v>0</v>
      </c>
      <c r="R86" s="9" t="n">
        <v>0</v>
      </c>
    </row>
    <row r="87" customFormat="false" ht="15" hidden="false" customHeight="true" outlineLevel="0" collapsed="false">
      <c r="A87" s="9" t="s">
        <v>225</v>
      </c>
      <c r="B87" s="9" t="s">
        <v>91</v>
      </c>
      <c r="C87" s="9" t="n">
        <v>1</v>
      </c>
      <c r="D87" s="9" t="n">
        <v>22022</v>
      </c>
      <c r="E87" s="9"/>
      <c r="F87" s="9" t="s">
        <v>38</v>
      </c>
      <c r="G87" s="9"/>
      <c r="H87" s="9"/>
      <c r="I87" s="9"/>
      <c r="J87" s="9"/>
      <c r="K87" s="9"/>
      <c r="L87" s="9"/>
      <c r="M87" s="9"/>
      <c r="N87" s="9"/>
      <c r="O87" s="9" t="s">
        <v>48</v>
      </c>
      <c r="P87" s="9" t="s">
        <v>139</v>
      </c>
      <c r="Q87" s="9" t="n">
        <v>1</v>
      </c>
      <c r="R87" s="9" t="n">
        <v>1</v>
      </c>
    </row>
    <row r="88" customFormat="false" ht="15" hidden="false" customHeight="true" outlineLevel="0" collapsed="false">
      <c r="A88" s="9" t="s">
        <v>226</v>
      </c>
      <c r="B88" s="9" t="s">
        <v>91</v>
      </c>
      <c r="C88" s="9" t="n">
        <v>1</v>
      </c>
      <c r="D88" s="9" t="n">
        <v>45992</v>
      </c>
      <c r="E88" s="9"/>
      <c r="F88" s="9" t="s">
        <v>38</v>
      </c>
      <c r="G88" s="9"/>
      <c r="H88" s="9"/>
      <c r="I88" s="9"/>
      <c r="J88" s="9"/>
      <c r="K88" s="9"/>
      <c r="L88" s="9"/>
      <c r="M88" s="9"/>
      <c r="N88" s="9" t="s">
        <v>48</v>
      </c>
      <c r="O88" s="9" t="s">
        <v>48</v>
      </c>
      <c r="P88" s="9" t="s">
        <v>139</v>
      </c>
      <c r="Q88" s="9" t="n">
        <v>1</v>
      </c>
      <c r="R88" s="9" t="n">
        <v>1</v>
      </c>
    </row>
    <row r="89" customFormat="false" ht="15" hidden="false" customHeight="true" outlineLevel="0" collapsed="false">
      <c r="A89" s="9" t="s">
        <v>227</v>
      </c>
      <c r="B89" s="9" t="s">
        <v>91</v>
      </c>
      <c r="C89" s="9" t="n">
        <v>0</v>
      </c>
      <c r="D89" s="9" t="n">
        <v>0</v>
      </c>
      <c r="E89" s="9"/>
      <c r="F89" s="9"/>
      <c r="G89" s="9"/>
      <c r="H89" s="9"/>
      <c r="I89" s="9"/>
      <c r="J89" s="9"/>
      <c r="K89" s="9"/>
      <c r="L89" s="9"/>
      <c r="M89" s="9"/>
      <c r="N89" s="9"/>
      <c r="O89" s="9"/>
      <c r="P89" s="9" t="s">
        <v>141</v>
      </c>
      <c r="Q89" s="9" t="n">
        <v>0</v>
      </c>
      <c r="R89" s="9"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2026-07-21T03:28:31Z</dcterms:created>
  <dc:creator>openpyxl</dc:creator>
  <dc:description/>
  <dc:language>en-US</dc:language>
  <cp:lastModifiedBy/>
  <dcterms:modified xsi:type="dcterms:W3CDTF">2026-07-30T11:08:57Z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