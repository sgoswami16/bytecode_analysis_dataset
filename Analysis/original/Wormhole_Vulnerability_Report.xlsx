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ormula_Definitions" sheetId="2" state="visible" r:id="rId4"/>
    <sheet name="Per_Vulnerability_Analysis" sheetId="3" state="visible" r:id="rId5"/>
    <sheet name="Detection_Count_Analysis" sheetId="4" state="visible" r:id="rId6"/>
    <sheet name="Tool_Wise_Analysis" sheetId="5" state="visible" r:id="rId7"/>
    <sheet name="Contract_Level_Statistics" sheetId="6" state="visible" r:id="rId8"/>
    <sheet name="Agreement_Jaccard" sheetId="7" state="visible" r:id="rId9"/>
    <sheet name="Key_Findings" sheetId="8" state="visible" r:id="rId10"/>
    <sheet name="Why_These_Results" sheetId="9" state="visible" r:id="rId11"/>
    <sheet name="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<sst xmlns="http://schemas.openxmlformats.org/spreadsheetml/2006/main" count="395" uniqueCount="201">
  <si>
    <t xml:space="preserve">Wormhole — Bridge Bytecode Vulnerability Detection: Executive Summary</t>
  </si>
  <si>
    <t xml:space="preserve">KEY METRICS</t>
  </si>
  <si>
    <t xml:space="preserve">WHAT THE DATA SHOWS</t>
  </si>
  <si>
    <t xml:space="preserve">Metric</t>
  </si>
  <si>
    <t xml:space="preserve">Formula</t>
  </si>
  <si>
    <t xml:space="preserve">Interpretation</t>
  </si>
  <si>
    <t xml:space="preserve">Detections D(v)</t>
  </si>
  <si>
    <t xml:space="preserve">COUNTIF(category_column, "&lt;&gt;")</t>
  </si>
  <si>
    <t xml:space="preserve">Number of contracts flagged for vulnerability v by its reporting tool</t>
  </si>
  <si>
    <t xml:space="preserve">Contracts w/ Bytecode</t>
  </si>
  <si>
    <t xml:space="preserve">SUM(Has_Bytecode)</t>
  </si>
  <si>
    <t xml:space="preserve">Denominator for prevalence; excludes EOA/unverified/no-code addresses</t>
  </si>
  <si>
    <t xml:space="preserve">Prevalence %</t>
  </si>
  <si>
    <t xml:space="preserve">D(v) / Contracts_w_Bytecode</t>
  </si>
  <si>
    <t xml:space="preserve">Share of resolved contracts flagged for category v</t>
  </si>
  <si>
    <t xml:space="preserve">Overall Vulnerable</t>
  </si>
  <si>
    <t xml:space="preserve">COUNTIFS(Has_Bytecode=1, Vulnerable="Yes")</t>
  </si>
  <si>
    <t xml:space="preserve">Contracts flagged by &gt;=1 tool, among resolved contracts</t>
  </si>
  <si>
    <t xml:space="preserve">Flags per Contract</t>
  </si>
  <si>
    <t xml:space="preserve">COUNT of active categories triggered per row</t>
  </si>
  <si>
    <t xml:space="preserve">How many distinct categories fire on the same contract</t>
  </si>
  <si>
    <t xml:space="preserve">Tool Flag Rate %</t>
  </si>
  <si>
    <t xml:space="preserve">Tool-flagged contracts / Contracts w/ Bytecode</t>
  </si>
  <si>
    <t xml:space="preserve">Per-tool prevalence, independent of category breakdown</t>
  </si>
  <si>
    <t xml:space="preserve">Jaccard Index J(A,B)</t>
  </si>
  <si>
    <t xml:space="preserve">|A ∩ B| / |A ∪ B|</t>
  </si>
  <si>
    <t xml:space="preserve">Overlap between the two tools' flagged sets; 0=no overlap, 1=identical sets</t>
  </si>
  <si>
    <t xml:space="preserve">Vulnerable Rate % (chain)</t>
  </si>
  <si>
    <t xml:space="preserve">Vulnerable(chain) / With_Bytecode(chain)</t>
  </si>
  <si>
    <t xml:space="preserve">Per-chain share of resolved contracts flagged</t>
  </si>
  <si>
    <t xml:space="preserve">Wormhole — Per-Vulnerability Analysis</t>
  </si>
  <si>
    <t xml:space="preserve">Category</t>
  </si>
  <si>
    <t xml:space="preserve">Detecting Tool</t>
  </si>
  <si>
    <t xml:space="preserve">Note</t>
  </si>
  <si>
    <t xml:space="preserve">Reentrancy</t>
  </si>
  <si>
    <t xml:space="preserve">Not covered (0 detections)</t>
  </si>
  <si>
    <t xml:space="preserve">Zero detections this run</t>
  </si>
  <si>
    <t xml:space="preserve">Integer</t>
  </si>
  <si>
    <t xml:space="preserve">Mythril</t>
  </si>
  <si>
    <t xml:space="preserve">Bytecode-level detection</t>
  </si>
  <si>
    <t xml:space="preserve">Access Control</t>
  </si>
  <si>
    <t xml:space="preserve">Delegatecall</t>
  </si>
  <si>
    <t xml:space="preserve">Unchecked Call</t>
  </si>
  <si>
    <t xml:space="preserve">Timestamp</t>
  </si>
  <si>
    <t xml:space="preserve">TOD</t>
  </si>
  <si>
    <t xml:space="preserve">DoS</t>
  </si>
  <si>
    <t xml:space="preserve">Selfdestruct</t>
  </si>
  <si>
    <t xml:space="preserve">Locked Ether</t>
  </si>
  <si>
    <t xml:space="preserve">MAIAN</t>
  </si>
  <si>
    <t xml:space="preserve">Ether Leak</t>
  </si>
  <si>
    <t xml:space="preserve">OVERALL VULNERABLE</t>
  </si>
  <si>
    <t xml:space="preserve">Any tool</t>
  </si>
  <si>
    <t xml:space="preserve">Flagged by &gt;=1 tool</t>
  </si>
  <si>
    <t xml:space="preserve">Wormhole — Detection Count Analysis</t>
  </si>
  <si>
    <t xml:space="preserve">Flags per contract = count of (Integer, Timestamp, Locked Ether, Ether Leak) triggered on that contract</t>
  </si>
  <si>
    <t xml:space="preserve">Contract Count</t>
  </si>
  <si>
    <t xml:space="preserve">% of Bytecode Contracts</t>
  </si>
  <si>
    <t xml:space="preserve">0 categories flagged</t>
  </si>
  <si>
    <t xml:space="preserve">1 categories flagged</t>
  </si>
  <si>
    <t xml:space="preserve">2 categories flagged</t>
  </si>
  <si>
    <t xml:space="preserve">3 categories flagged</t>
  </si>
  <si>
    <t xml:space="preserve">4 categories flagged</t>
  </si>
  <si>
    <t xml:space="preserve">Total contracts w/ bytecode</t>
  </si>
  <si>
    <t xml:space="preserve">Total raw detections (sum across all 11 categories)</t>
  </si>
  <si>
    <t xml:space="preserve">Avg detections per bytecode-resolved contract</t>
  </si>
  <si>
    <t xml:space="preserve">Wormhole — Tool-wise Analysis</t>
  </si>
  <si>
    <t xml:space="preserve">Tool</t>
  </si>
  <si>
    <t xml:space="preserve">Categories Covered</t>
  </si>
  <si>
    <t xml:space="preserve">Contracts Flagged</t>
  </si>
  <si>
    <t xml:space="preserve">Flag Rate %</t>
  </si>
  <si>
    <t xml:space="preserve">Locked Ether, Ether Leak</t>
  </si>
  <si>
    <t xml:space="preserve">Symbolic execution, financial-flow analysis</t>
  </si>
  <si>
    <t xml:space="preserve">Integer, Timestamp</t>
  </si>
  <si>
    <t xml:space="preserve">Bytecode symbolic execution</t>
  </si>
  <si>
    <t xml:space="preserve">Others (n/a)</t>
  </si>
  <si>
    <t xml:space="preserve">Reentrancy, Access Control, Delegatecall, Unchecked Call, TOD, DoS, Selfdestruct</t>
  </si>
  <si>
    <t xml:space="preserve">Zero detections in this run</t>
  </si>
  <si>
    <t xml:space="preserve">Wormhole — Contract-Level Statistics</t>
  </si>
  <si>
    <t xml:space="preserve">Addresses queried</t>
  </si>
  <si>
    <t xml:space="preserve">Chains covered</t>
  </si>
  <si>
    <t xml:space="preserve">Contracts analyzed (bytecode resolved / detection ran)</t>
  </si>
  <si>
    <t xml:space="preserve">Not analyzed (EOA / unverified / not found)</t>
  </si>
  <si>
    <t xml:space="preserve">...of which bytecode text is blank in source export</t>
  </si>
  <si>
    <t xml:space="preserve">Detections still recorded; only the raw bytecode string is missing from the export</t>
  </si>
  <si>
    <t xml:space="preserve">Avg bytecode length (hex chars, where text available)</t>
  </si>
  <si>
    <t xml:space="preserve">Rounded to nearest char; excludes blank-text rows</t>
  </si>
  <si>
    <t xml:space="preserve">Min bytecode length (where text available)</t>
  </si>
  <si>
    <t xml:space="preserve">Max bytecode length</t>
  </si>
  <si>
    <t xml:space="preserve">Per-Chain Breakdown</t>
  </si>
  <si>
    <t xml:space="preserve">Chain</t>
  </si>
  <si>
    <t xml:space="preserve">Addresses</t>
  </si>
  <si>
    <t xml:space="preserve">With Bytecode</t>
  </si>
  <si>
    <t xml:space="preserve">Vulnerable Rate %</t>
  </si>
  <si>
    <t xml:space="preserve">arbitrum</t>
  </si>
  <si>
    <t xml:space="preserve">berachain</t>
  </si>
  <si>
    <t xml:space="preserve">blast</t>
  </si>
  <si>
    <t xml:space="preserve">celo</t>
  </si>
  <si>
    <t xml:space="preserve">ethereum</t>
  </si>
  <si>
    <t xml:space="preserve">mantle</t>
  </si>
  <si>
    <t xml:space="preserve">moonbeam</t>
  </si>
  <si>
    <t xml:space="preserve">polygon</t>
  </si>
  <si>
    <t xml:space="preserve">sei</t>
  </si>
  <si>
    <t xml:space="preserve">sonic</t>
  </si>
  <si>
    <t xml:space="preserve">unichain</t>
  </si>
  <si>
    <t xml:space="preserve">world_chain</t>
  </si>
  <si>
    <t xml:space="preserve">Wormhole — Tool Agreement (Jaccard Index)</t>
  </si>
  <si>
    <t xml:space="preserve">Agreement between MAIAN and Mythril, among contracts with bytecode.</t>
  </si>
  <si>
    <t xml:space="preserve">Set</t>
  </si>
  <si>
    <t xml:space="preserve">Count</t>
  </si>
  <si>
    <t xml:space="preserve">Definition</t>
  </si>
  <si>
    <t xml:space="preserve">Both tools flag (A ∩ B)</t>
  </si>
  <si>
    <t xml:space="preserve">MAIAN AND Mythril</t>
  </si>
  <si>
    <t xml:space="preserve">Only MAIAN flags (A \ B)</t>
  </si>
  <si>
    <t xml:space="preserve">MAIAN only</t>
  </si>
  <si>
    <t xml:space="preserve">Only Mythril flags (B \ A)</t>
  </si>
  <si>
    <t xml:space="preserve">Mythril only</t>
  </si>
  <si>
    <t xml:space="preserve">Neither flags</t>
  </si>
  <si>
    <t xml:space="preserve">Resolved contract, no flag from either tool</t>
  </si>
  <si>
    <t xml:space="preserve">Union (A ∪ B)</t>
  </si>
  <si>
    <t xml:space="preserve">Jaccard Index J(A,B) = |A∩B| / |A∪B|</t>
  </si>
  <si>
    <t xml:space="preserve">Wormhole — Key Findings</t>
  </si>
  <si>
    <t xml:space="preserve">Wormhole — Why These Results: Forensic Explanation of the Detection Pattern</t>
  </si>
  <si>
    <t xml:space="preserve">Findings below are derived from direct inspection of the raw deployed bytecode (length, opcode counts, function-selector signatures) behind this protocol's CSV, not just the tool output.</t>
  </si>
  <si>
    <t xml:space="preserve">1. WHY THE ANALYZED RATE IS 49.0%</t>
  </si>
  <si>
    <t xml:space="preserve">Of 51 addresses queried for Wormhole, 25 (49.0%) resolved to a contract with recorded detection results. The remainder are addresses listed in the bridge's cross-chain registry that do not currently hold deployed bytecode on the chain they're paired with in the source data.</t>
  </si>
  <si>
    <t xml:space="preserve">This is a registry-completeness artifact, not a tool failure: cross-chain bridge protocols typically reserve or intend the SAME contract address across every supported chain (often via CREATE2 deterministic deployment), but do not necessarily deploy on all of them at the same time - some chains get the contract later, some never, and some registries list planned/future chains. A low analyzed rate signals partial rollout, not analysis error.</t>
  </si>
  <si>
    <t xml:space="preserve">2. PROXY-PATTERN CONTRACTS AND THEIR EFFECT ON DETECTION</t>
  </si>
  <si>
    <t xml:space="preserve">No UUPS/ERC-1967 proxy selectors were found in any of the 25 analyzed Wormhole contracts' bytecode - these appear to be full logic contracts rather than thin proxies, which is consistent with every analyzed contract exposing enough arithmetic/ether-handling surface for the tools to flag something.</t>
  </si>
  <si>
    <t xml:space="preserve">3. WHY MAIAN FIRES MORE OFTEN THAN MYTHRIL</t>
  </si>
  <si>
    <t xml:space="preserve">In this protocol, MAIAN's flag rate (96.0%) is higher than Mythril's (76.0%), with tool agreement (Jaccard) of 0.7200. This asymmetry appears consistently across all 5 protocols in this dataset and has two likely structural causes:</t>
  </si>
  <si>
    <t xml:space="preserve">(a) Mythril's Integer category targets classic integer overflow/underflow. Solidity &gt;=0.8.0 added automatic overflow/underflow reverts at the compiler level, so this entire bug class is largely closed off in modern contracts unless the code explicitly uses an `unchecked{}` block. Bridge contracts deployed in the last 2-3 years are predominantly 0.8.x, which suppresses Mythril's hit rate by design, not by absence of scrutiny.</t>
  </si>
  <si>
    <t xml:space="preserve">(b) MAIAN's Locked_Ether/Ether_Leak checks flag any contract that can receive ETH but lacks a statically-provable unconditional withdrawal path. Bridge contracts almost always accept native-token value (bridging fees, wrapped-native deposits) and almost never expose a simple public withdraw() - value moves through multi-step, permissioned, or cross-contract release logic that MAIAN's local analysis cannot fully trace. This makes MAIAN's categories structurally prone to firing on this entire class of contract, independent of whether a real fund-locking bug exists.</t>
  </si>
  <si>
    <t xml:space="preserve">4. WHY "ETHER LEAK" IS THE TOP CATEGORY HERE</t>
  </si>
  <si>
    <t xml:space="preserve">Ether Leak has the highest prevalence in Wormhole at 96.0%, driven by MAIAN. Given point 3 above, this is expected: Ether Leak is one of MAIAN's two categories, and MAIAN is structurally the most trigger-happy tool on payable, non-trivial-withdrawal-path contracts like bridge routers/relayers.</t>
  </si>
  <si>
    <t xml:space="preserve">5. BYTECODE SIZE AS A ROUGH COMPLEXITY SIGNAL</t>
  </si>
  <si>
    <t xml:space="preserve">Bytecode text available for Wormhole: 25 contracts, ranging from 1,362 to 6,818 hex characters (median 4,844). Average CALLVALUE (opcode 0x34) occurrences per contract: 7.8, consistent with these being value-handling contracts by design rather than pure view/logic code.</t>
  </si>
  <si>
    <t xml:space="preserve">SUMMARY</t>
  </si>
  <si>
    <t xml:space="preserve">Wormhole's 100.0% vulnerable rate reflects near-universal MAIAN Locked_Ether/Ether_Leak flags on payable, complex-withdrawal-path bridge contracts, compounded by a negligible share of proxy-pattern contracts that are not present here to dilute the rate. This is consistent with a tool-heuristic effect at least as much as a genuine vulnerability signal - see Formula_Definitions in the individual report and the Combined_Bridge_Vulnerability_Report for the cross-protocol pattern.</t>
  </si>
  <si>
    <t xml:space="preserve">Address</t>
  </si>
  <si>
    <t xml:space="preserve">Has_Bytecode</t>
  </si>
  <si>
    <t xml:space="preserve">Bytecode_Length</t>
  </si>
  <si>
    <t xml:space="preserve">Access_Control</t>
  </si>
  <si>
    <t xml:space="preserve">Unchecked_Call</t>
  </si>
  <si>
    <t xml:space="preserve">Locked_Ether</t>
  </si>
  <si>
    <t xml:space="preserve">Ether_Leak</t>
  </si>
  <si>
    <t xml:space="preserve">Vulnerable</t>
  </si>
  <si>
    <t xml:space="preserve">MAIAN_Flag</t>
  </si>
  <si>
    <t xml:space="preserve">Mythril_Flag</t>
  </si>
  <si>
    <t xml:space="preserve">arbitrum_0x0b2402144Bb366A632D14B83F244D2e0e21bD39c</t>
  </si>
  <si>
    <t xml:space="preserve">No</t>
  </si>
  <si>
    <t xml:space="preserve">arbitrum_0x2703483B1a5a7c577e8680de9Df8Be03c6f30e3c</t>
  </si>
  <si>
    <t xml:space="preserve">arbitrum_0x32eec14c963c23176bd8951f192292006756bDcC</t>
  </si>
  <si>
    <t xml:space="preserve">Yes</t>
  </si>
  <si>
    <t xml:space="preserve">arbitrum_0x36CF4c88FA548c6Ad9fcDc696e1c27Bb3306163F</t>
  </si>
  <si>
    <t xml:space="preserve">arbitrum_0x3980f8318fc03d79033Bbb421A622CDF8d2Eeab4</t>
  </si>
  <si>
    <t xml:space="preserve">arbitrum_0x3dD14D553cFD986EAC8e3bddF629d82073e188c8</t>
  </si>
  <si>
    <t xml:space="preserve">arbitrum_0xa5f208e072434bC67592E4C49C1B991BA79BCA46</t>
  </si>
  <si>
    <t xml:space="preserve">berachain_0x0Dd7a5a32311b8D87A615Cc7f079B632D3d5e2D3</t>
  </si>
  <si>
    <t xml:space="preserve">berachain_0x3Ff72741fd67D6AD0668d93B41a09248F4700560</t>
  </si>
  <si>
    <t xml:space="preserve">berachain_0x6969696969696969696969696969696969696969</t>
  </si>
  <si>
    <t xml:space="preserve">berachain_0xCa1D5a146B03f6303baF59e5AD5615ae0b9d146D</t>
  </si>
  <si>
    <t xml:space="preserve">blast_0x24850c6f61C438823F01B7A3BF2B89B72174Fa9d</t>
  </si>
  <si>
    <t xml:space="preserve">blast_0x9D020B1697035d9d54f115194c9e04a1e4Eb9aF7</t>
  </si>
  <si>
    <t xml:space="preserve">blast_0xbebdb6C8ddC678FfA9f8748f85C815C556Dd8ac6</t>
  </si>
  <si>
    <t xml:space="preserve">celo_0x796Dff6D74F3E27060B71255Fe517BFb23C93eed</t>
  </si>
  <si>
    <t xml:space="preserve">celo_0xA6A377d75ca5c9052c9a77ED1e865Cc25Bd97bf3</t>
  </si>
  <si>
    <t xml:space="preserve">celo_0xa321448d90d4e5b0A732867c18eA198e75CAC48E</t>
  </si>
  <si>
    <t xml:space="preserve">celo_0xe6Ea5087c6860B94Cf098a403506262D8F28cF05</t>
  </si>
  <si>
    <t xml:space="preserve">ethereum_0x1462800febd49232798132e8c8b721aa86c4c209</t>
  </si>
  <si>
    <t xml:space="preserve">ethereum_0x23Fea5514DFC9821479fBE18BA1D7e1A61f6FfCf</t>
  </si>
  <si>
    <t xml:space="preserve">ethereum_0x3ee18B2214AFF97000D974cf647E7C347E8fa585</t>
  </si>
  <si>
    <t xml:space="preserve">ethereum_0x6FFd7EdE62328b3Af38FCD61461Bbfc52F5651fE</t>
  </si>
  <si>
    <t xml:space="preserve">ethereum_0x70287c79ee41C5D1df8259Cd68Ba0890cd389c47</t>
  </si>
  <si>
    <t xml:space="preserve">ethereum_0x84EEe8dBa37C36947397E1E11251cA9A06Fc6F8a</t>
  </si>
  <si>
    <t xml:space="preserve">ethereum_0x98f3c9e6E3fAce36bAAd05FE09d375Ef1464288B</t>
  </si>
  <si>
    <t xml:space="preserve">ethereum_0xA25862D222Eb8343505c12d96e097e4332468D60</t>
  </si>
  <si>
    <t xml:space="preserve">ethereum_0xAaDA05BD399372f0b0463744C09113c137636f6a</t>
  </si>
  <si>
    <t xml:space="preserve">ethereum_0xC02aaA39b223FE8D0A0e5C4F27eAD9083C756Cc2</t>
  </si>
  <si>
    <t xml:space="preserve">ethereum_0xF22F1c0A3a8Cb42F695601731974784C499C4EF3</t>
  </si>
  <si>
    <t xml:space="preserve">mantle_0x24850c6f61C438823F01B7A3BF2B89B72174Fa9d</t>
  </si>
  <si>
    <t xml:space="preserve">mantle_0x78c1b0C915c4FAA5FffA6CAbf0219DA63d7f4cb8</t>
  </si>
  <si>
    <t xml:space="preserve">mantle_0xbebdb6C8ddC678FfA9f8748f85C815C556Dd8ac6</t>
  </si>
  <si>
    <t xml:space="preserve">moonbeam_0x453cfbe096c0f8d763e8c5f24b441097d577bde2</t>
  </si>
  <si>
    <t xml:space="preserve">moonbeam_0x85D06449C78064c2E02d787e9DC71716786F8D19</t>
  </si>
  <si>
    <t xml:space="preserve">moonbeam_0xAcc15dC74880C9944775448304B263D191c6077F</t>
  </si>
  <si>
    <t xml:space="preserve">moonbeam_0xC8e2b0cD52Cf01b0Ce87d389Daa3d414d4cE29f3</t>
  </si>
  <si>
    <t xml:space="preserve">moonbeam_0xb1731c586ca89a23809861c6103f0b96b3f57d92</t>
  </si>
  <si>
    <t xml:space="preserve">polygon_0x0B23efA164aB3eD08e9a39AC7aD930Ff4F5A5e81</t>
  </si>
  <si>
    <t xml:space="preserve">polygon_0x0FF28217dCc90372345954563486528aa865cDd6</t>
  </si>
  <si>
    <t xml:space="preserve">polygon_0x0d500B1d8E8eF31E21C99d1Db9A6444d3ADf1270</t>
  </si>
  <si>
    <t xml:space="preserve">polygon_0x2a856931603930B827B1A4352FB4D66fA029F123</t>
  </si>
  <si>
    <t xml:space="preserve">polygon_0x5a58505a96D1dbf8dF91cB21B54419FC36e93fdE</t>
  </si>
  <si>
    <t xml:space="preserve">polygon_0x7A4B5a56256163F07b2C80A7cA55aBE66c4ec4d7</t>
  </si>
  <si>
    <t xml:space="preserve">polygon_0x90BBd86a6Fe93D3bc3ed6335935447E75fAb7fCf</t>
  </si>
  <si>
    <t xml:space="preserve">sei_0x1D6FeA87671F7c5E184F4c59c3BdcEc5CFC3eC1c</t>
  </si>
  <si>
    <t xml:space="preserve">sonic_0x3Fdc36b4260Da38fBDba1125cCBD33DD0AC74812</t>
  </si>
  <si>
    <t xml:space="preserve">unichain_0x574b7864119c9223a9870ea614dc91a8ee09e512</t>
  </si>
  <si>
    <t xml:space="preserve">unichain_0x764dD868eAdD27ce57BCB801E4ca4a193d231Aed</t>
  </si>
  <si>
    <t xml:space="preserve">world_chain_0x8689b4E6226AdC8fa8FF80aCc3a60AcE31e8804B</t>
  </si>
  <si>
    <t xml:space="preserve">world_chain_0xc309275443519adca74c9136b02A38eF96E3a1f6</t>
  </si>
  <si>
    <t xml:space="preserve">world_chain_0xcbcEe4e081464A15d8Ad5f58BB493954421eB506</t>
  </si>
</sst>
</file>

<file path=xl/styles.xml><?xml version="1.0" encoding="utf-8"?>
<styleSheet xmlns="http://schemas.openxmlformats.org/spreadsheetml/2006/main">
  <numFmts count="5">
    <numFmt numFmtId="164" formatCode="General"/>
    <numFmt numFmtId="165" formatCode="0.00%"/>
    <numFmt numFmtId="166" formatCode="0.00"/>
    <numFmt numFmtId="167" formatCode="0.0"/>
    <numFmt numFmtId="168" formatCode="0.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name val="Arial"/>
      <family val="0"/>
      <charset val="1"/>
    </font>
    <font>
      <sz val="11"/>
      <name val="Arial"/>
      <family val="0"/>
      <charset val="1"/>
    </font>
    <font>
      <b val="true"/>
      <sz val="11"/>
      <color rgb="FFFFFFFF"/>
      <name val="Arial"/>
      <family val="0"/>
      <charset val="1"/>
    </font>
    <font>
      <sz val="10"/>
      <name val="Arial"/>
      <family val="0"/>
      <charset val="1"/>
    </font>
    <font>
      <b val="true"/>
      <sz val="13"/>
      <name val="Arial"/>
      <family val="0"/>
      <charset val="1"/>
    </font>
    <font>
      <i val="true"/>
      <sz val="9"/>
      <name val="Arial"/>
      <family val="0"/>
      <charset val="1"/>
    </font>
    <font>
      <b val="true"/>
      <sz val="11"/>
      <name val="Arial"/>
      <family val="0"/>
      <charset val="1"/>
    </font>
    <font>
      <sz val="9"/>
      <name val="Arial"/>
      <family val="0"/>
      <charset val="1"/>
    </font>
    <font>
      <i val="true"/>
      <sz val="11"/>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3" customFormat="false" ht="15.75" hidden="false" customHeight="true" outlineLevel="0" collapsed="false">
      <c r="A3" s="3" t="s">
        <v>1</v>
      </c>
    </row>
    <row r="4" customFormat="false" ht="15" hidden="false" customHeight="true" outlineLevel="0" collapsed="false">
      <c r="A4" s="4" t="str">
        <f aca="false">"Addresses queried: "&amp;COUNTA(Data!A2:A52)&amp;"  |  Chains covered: 12"</f>
        <v>Addresses queried: 51  |  Chains covered: 12</v>
      </c>
    </row>
    <row r="5" customFormat="false" ht="15" hidden="false" customHeight="true" outlineLevel="0" collapsed="false">
      <c r="A5" s="4" t="str">
        <f aca="false">"Contracts with resolved bytecode: "&amp;SUM(Data!C2:C52)&amp;"  |  No bytecode (EOA/unverified): "&amp;(COUNTA(Data!A2:A52)-SUM(Data!C2:C52))</f>
        <v>Contracts with resolved bytecode: 25  |  No bytecode (EOA/unverified): 26</v>
      </c>
    </row>
    <row r="6" customFormat="false" ht="15" hidden="false" customHeight="true" outlineLevel="0" collapsed="false">
      <c r="A6" s="4" t="str">
        <f aca="false">"Overall vulnerable (&gt;=1 tool): "&amp;TEXT(Per_Vulnerability_Analysis!C15/Per_Vulnerability_Analysis!D15,"0.0%")&amp;" of resolved contracts ("&amp;Per_Vulnerability_Analysis!C15&amp;"/"&amp;Per_Vulnerability_Analysis!D15&amp;")"</f>
        <v>Overall vulnerable (&gt;=1 tool): 100.0% of resolved contracts (25/25)</v>
      </c>
    </row>
    <row r="7" customFormat="false" ht="15" hidden="false" customHeight="true" outlineLevel="0" collapsed="false">
      <c r="A7" s="4" t="str">
        <f aca="false">"MAIAN flag rate: "&amp;TEXT(Tool_Wise_Analysis!E4,"0.0%")</f>
        <v>MAIAN flag rate: 96.0%</v>
      </c>
    </row>
    <row r="8" customFormat="false" ht="15" hidden="false" customHeight="true" outlineLevel="0" collapsed="false">
      <c r="A8" s="4" t="str">
        <f aca="false">"Mythril flag rate: "&amp;TEXT(Tool_Wise_Analysis!E5,"0.0%")</f>
        <v>Mythril flag rate: 76.0%</v>
      </c>
    </row>
    <row r="9" customFormat="false" ht="15" hidden="false" customHeight="true" outlineLevel="0" collapsed="false">
      <c r="A9" s="4" t="str">
        <f aca="false">"Tool agreement (Jaccard, MAIAN vs Mythril): "&amp;TEXT(Agreement_Jaccard!B11,"0.0000")</f>
        <v>Tool agreement (Jaccard, MAIAN vs Mythril): 0.7200</v>
      </c>
    </row>
    <row r="11" customFormat="false" ht="15.75" hidden="false" customHeight="true" outlineLevel="0" collapsed="false">
      <c r="A11" s="3" t="s">
        <v>2</v>
      </c>
    </row>
    <row r="12" customFormat="false" ht="15" hidden="false" customHeight="true" outlineLevel="0" collapsed="false">
      <c r="A12" s="4" t="str">
        <f aca="false">"Highest-prevalence category: "&amp;INDEX(Per_Vulnerability_Analysis!A5:A14,MATCH(MAX(Per_Vulnerability_Analysis!C5:C14),Per_Vulnerability_Analysis!C5:C14,0))&amp;" ("&amp;TEXT(MAX(Per_Vulnerability_Analysis!E5:E14),"0.0%")&amp;" prevalence)"</f>
        <v>Highest-prevalence category: Ether Leak (96.0% prevalence)</v>
      </c>
    </row>
    <row r="13" customFormat="false" ht="15" hidden="false" customHeight="true" outlineLevel="0" collapsed="false">
      <c r="A13" s="4" t="str">
        <f aca="false">"Only MAIAN and Mythril returned detections in this run; 7 of 11 tracked categories show zero hits — see Formula_Definitions / Per_Vulnerability_Analysis."</f>
        <v>Only MAIAN and Mythril returned detections in this run; 7 of 11 tracked categories show zero hits — see Formula_Definitions / Per_Vulnerability_Analysis.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48"/>
  </cols>
  <sheetData>
    <row r="1" customFormat="false" ht="15" hidden="false" customHeight="true" outlineLevel="0" collapsed="false">
      <c r="A1" s="5" t="s">
        <v>3</v>
      </c>
      <c r="B1" s="5" t="s">
        <v>4</v>
      </c>
      <c r="C1" s="5" t="s">
        <v>5</v>
      </c>
    </row>
    <row r="2" customFormat="false" ht="23.25" hidden="false" customHeight="true" outlineLevel="0" collapsed="false">
      <c r="A2" s="6" t="s">
        <v>6</v>
      </c>
      <c r="B2" s="6" t="s">
        <v>7</v>
      </c>
      <c r="C2" s="6" t="s">
        <v>8</v>
      </c>
    </row>
    <row r="3" customFormat="false" ht="23.25" hidden="false" customHeight="true" outlineLevel="0" collapsed="false">
      <c r="A3" s="6" t="s">
        <v>9</v>
      </c>
      <c r="B3" s="6" t="s">
        <v>10</v>
      </c>
      <c r="C3" s="6" t="s">
        <v>11</v>
      </c>
    </row>
    <row r="4" customFormat="false" ht="15" hidden="false" customHeight="true" outlineLevel="0" collapsed="false">
      <c r="A4" s="6" t="s">
        <v>12</v>
      </c>
      <c r="B4" s="6" t="s">
        <v>13</v>
      </c>
      <c r="C4" s="6" t="s">
        <v>14</v>
      </c>
    </row>
    <row r="5" customFormat="false" ht="15" hidden="false" customHeight="true" outlineLevel="0" collapsed="false">
      <c r="A5" s="6" t="s">
        <v>15</v>
      </c>
      <c r="B5" s="6" t="s">
        <v>16</v>
      </c>
      <c r="C5" s="6" t="s">
        <v>17</v>
      </c>
    </row>
    <row r="6" customFormat="false" ht="15" hidden="false" customHeight="true" outlineLevel="0" collapsed="false">
      <c r="A6" s="6" t="s">
        <v>18</v>
      </c>
      <c r="B6" s="6" t="s">
        <v>19</v>
      </c>
      <c r="C6" s="6" t="s">
        <v>20</v>
      </c>
    </row>
    <row r="7" customFormat="false" ht="15" hidden="false" customHeight="true" outlineLevel="0" collapsed="false">
      <c r="A7" s="6" t="s">
        <v>21</v>
      </c>
      <c r="B7" s="6" t="s">
        <v>22</v>
      </c>
      <c r="C7" s="6" t="s">
        <v>23</v>
      </c>
    </row>
    <row r="8" customFormat="false" ht="23.25" hidden="false" customHeight="true" outlineLevel="0" collapsed="false">
      <c r="A8" s="6" t="s">
        <v>24</v>
      </c>
      <c r="B8" s="6" t="s">
        <v>25</v>
      </c>
      <c r="C8" s="6" t="s">
        <v>26</v>
      </c>
    </row>
    <row r="9" customFormat="false" ht="15" hidden="false" customHeight="true" outlineLevel="0" collapsed="false">
      <c r="A9" s="6" t="s">
        <v>27</v>
      </c>
      <c r="B9" s="6" t="s">
        <v>28</v>
      </c>
      <c r="C9"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6"/>
    <col collapsed="false" customWidth="true" hidden="false" outlineLevel="0" max="4" min="4" style="1" width="20"/>
    <col collapsed="false" customWidth="true" hidden="false" outlineLevel="0" max="6" min="5" style="1" width="14"/>
    <col collapsed="false" customWidth="true" hidden="false" outlineLevel="0" max="7" min="7" style="1" width="42"/>
  </cols>
  <sheetData>
    <row r="1" customFormat="false" ht="15.75" hidden="false" customHeight="true" outlineLevel="0" collapsed="false">
      <c r="A1" s="7" t="s">
        <v>30</v>
      </c>
      <c r="B1" s="7"/>
      <c r="C1" s="7"/>
      <c r="D1" s="7"/>
      <c r="E1" s="7"/>
      <c r="F1" s="7"/>
    </row>
    <row r="3" customFormat="false" ht="26.25" hidden="false" customHeight="true" outlineLevel="0" collapsed="false">
      <c r="A3" s="8" t="s">
        <v>31</v>
      </c>
      <c r="B3" s="8" t="s">
        <v>32</v>
      </c>
      <c r="C3" s="8" t="s">
        <v>6</v>
      </c>
      <c r="D3" s="8" t="s">
        <v>9</v>
      </c>
      <c r="E3" s="8" t="s">
        <v>12</v>
      </c>
      <c r="F3" s="8" t="s">
        <v>33</v>
      </c>
    </row>
    <row r="4" customFormat="false" ht="15" hidden="false" customHeight="true" outlineLevel="0" collapsed="false">
      <c r="A4" s="9" t="s">
        <v>34</v>
      </c>
      <c r="B4" s="9" t="s">
        <v>35</v>
      </c>
      <c r="C4" s="9" t="n">
        <f aca="false">COUNTIF(Data!E2:E52,"&lt;&gt;")</f>
        <v>0</v>
      </c>
      <c r="D4" s="9" t="n">
        <f aca="false">SUM(Data!C2:C52)</f>
        <v>25</v>
      </c>
      <c r="E4" s="10" t="n">
        <f aca="false">IF(D4=0,0,C4/D4)</f>
        <v>0</v>
      </c>
      <c r="F4" s="11" t="s">
        <v>36</v>
      </c>
    </row>
    <row r="5" customFormat="false" ht="15" hidden="false" customHeight="true" outlineLevel="0" collapsed="false">
      <c r="A5" s="9" t="s">
        <v>37</v>
      </c>
      <c r="B5" s="9" t="s">
        <v>38</v>
      </c>
      <c r="C5" s="9" t="n">
        <f aca="false">COUNTIF(Data!F2:F52,"&lt;&gt;")</f>
        <v>18</v>
      </c>
      <c r="D5" s="9" t="n">
        <f aca="false">SUM(Data!C2:C52)</f>
        <v>25</v>
      </c>
      <c r="E5" s="10" t="n">
        <f aca="false">IF(D5=0,0,C5/D5)</f>
        <v>0.72</v>
      </c>
      <c r="F5" s="11" t="s">
        <v>39</v>
      </c>
    </row>
    <row r="6" customFormat="false" ht="15" hidden="false" customHeight="true" outlineLevel="0" collapsed="false">
      <c r="A6" s="9" t="s">
        <v>40</v>
      </c>
      <c r="B6" s="9" t="s">
        <v>35</v>
      </c>
      <c r="C6" s="9" t="n">
        <f aca="false">COUNTIF(Data!G2:G52,"&lt;&gt;")</f>
        <v>0</v>
      </c>
      <c r="D6" s="9" t="n">
        <f aca="false">SUM(Data!C2:C52)</f>
        <v>25</v>
      </c>
      <c r="E6" s="10" t="n">
        <f aca="false">IF(D6=0,0,C6/D6)</f>
        <v>0</v>
      </c>
      <c r="F6" s="11" t="s">
        <v>36</v>
      </c>
    </row>
    <row r="7" customFormat="false" ht="15" hidden="false" customHeight="true" outlineLevel="0" collapsed="false">
      <c r="A7" s="9" t="s">
        <v>41</v>
      </c>
      <c r="B7" s="9" t="s">
        <v>35</v>
      </c>
      <c r="C7" s="9" t="n">
        <f aca="false">COUNTIF(Data!H2:H52,"&lt;&gt;")</f>
        <v>0</v>
      </c>
      <c r="D7" s="9" t="n">
        <f aca="false">SUM(Data!C2:C52)</f>
        <v>25</v>
      </c>
      <c r="E7" s="10" t="n">
        <f aca="false">IF(D7=0,0,C7/D7)</f>
        <v>0</v>
      </c>
      <c r="F7" s="11" t="s">
        <v>36</v>
      </c>
    </row>
    <row r="8" customFormat="false" ht="15" hidden="false" customHeight="true" outlineLevel="0" collapsed="false">
      <c r="A8" s="9" t="s">
        <v>42</v>
      </c>
      <c r="B8" s="9" t="s">
        <v>35</v>
      </c>
      <c r="C8" s="9" t="n">
        <f aca="false">COUNTIF(Data!I2:I52,"&lt;&gt;")</f>
        <v>0</v>
      </c>
      <c r="D8" s="9" t="n">
        <f aca="false">SUM(Data!C2:C52)</f>
        <v>25</v>
      </c>
      <c r="E8" s="10" t="n">
        <f aca="false">IF(D8=0,0,C8/D8)</f>
        <v>0</v>
      </c>
      <c r="F8" s="11" t="s">
        <v>36</v>
      </c>
    </row>
    <row r="9" customFormat="false" ht="15" hidden="false" customHeight="true" outlineLevel="0" collapsed="false">
      <c r="A9" s="9" t="s">
        <v>43</v>
      </c>
      <c r="B9" s="9" t="s">
        <v>38</v>
      </c>
      <c r="C9" s="9" t="n">
        <f aca="false">COUNTIF(Data!J2:J52,"&lt;&gt;")</f>
        <v>14</v>
      </c>
      <c r="D9" s="9" t="n">
        <f aca="false">SUM(Data!C2:C52)</f>
        <v>25</v>
      </c>
      <c r="E9" s="10" t="n">
        <f aca="false">IF(D9=0,0,C9/D9)</f>
        <v>0.56</v>
      </c>
      <c r="F9" s="11" t="s">
        <v>39</v>
      </c>
    </row>
    <row r="10" customFormat="false" ht="15" hidden="false" customHeight="true" outlineLevel="0" collapsed="false">
      <c r="A10" s="9" t="s">
        <v>44</v>
      </c>
      <c r="B10" s="9" t="s">
        <v>35</v>
      </c>
      <c r="C10" s="9" t="n">
        <f aca="false">COUNTIF(Data!K2:K52,"&lt;&gt;")</f>
        <v>0</v>
      </c>
      <c r="D10" s="9" t="n">
        <f aca="false">SUM(Data!C2:C52)</f>
        <v>25</v>
      </c>
      <c r="E10" s="10" t="n">
        <f aca="false">IF(D10=0,0,C10/D10)</f>
        <v>0</v>
      </c>
      <c r="F10" s="11" t="s">
        <v>36</v>
      </c>
    </row>
    <row r="11" customFormat="false" ht="15" hidden="false" customHeight="true" outlineLevel="0" collapsed="false">
      <c r="A11" s="9" t="s">
        <v>45</v>
      </c>
      <c r="B11" s="9" t="s">
        <v>35</v>
      </c>
      <c r="C11" s="9" t="n">
        <f aca="false">COUNTIF(Data!L2:L52,"&lt;&gt;")</f>
        <v>0</v>
      </c>
      <c r="D11" s="9" t="n">
        <f aca="false">SUM(Data!C2:C52)</f>
        <v>25</v>
      </c>
      <c r="E11" s="10" t="n">
        <f aca="false">IF(D11=0,0,C11/D11)</f>
        <v>0</v>
      </c>
      <c r="F11" s="11" t="s">
        <v>36</v>
      </c>
    </row>
    <row r="12" customFormat="false" ht="15" hidden="false" customHeight="true" outlineLevel="0" collapsed="false">
      <c r="A12" s="9" t="s">
        <v>46</v>
      </c>
      <c r="B12" s="9" t="s">
        <v>35</v>
      </c>
      <c r="C12" s="9" t="n">
        <f aca="false">COUNTIF(Data!M2:M52,"&lt;&gt;")</f>
        <v>0</v>
      </c>
      <c r="D12" s="9" t="n">
        <f aca="false">SUM(Data!C2:C52)</f>
        <v>25</v>
      </c>
      <c r="E12" s="10" t="n">
        <f aca="false">IF(D12=0,0,C12/D12)</f>
        <v>0</v>
      </c>
      <c r="F12" s="11" t="s">
        <v>36</v>
      </c>
    </row>
    <row r="13" customFormat="false" ht="15" hidden="false" customHeight="true" outlineLevel="0" collapsed="false">
      <c r="A13" s="9" t="s">
        <v>47</v>
      </c>
      <c r="B13" s="9" t="s">
        <v>48</v>
      </c>
      <c r="C13" s="9" t="n">
        <f aca="false">COUNTIF(Data!N2:N52,"&lt;&gt;")</f>
        <v>3</v>
      </c>
      <c r="D13" s="9" t="n">
        <f aca="false">SUM(Data!C2:C52)</f>
        <v>25</v>
      </c>
      <c r="E13" s="10" t="n">
        <f aca="false">IF(D13=0,0,C13/D13)</f>
        <v>0.12</v>
      </c>
      <c r="F13" s="11" t="s">
        <v>39</v>
      </c>
    </row>
    <row r="14" customFormat="false" ht="15" hidden="false" customHeight="true" outlineLevel="0" collapsed="false">
      <c r="A14" s="9" t="s">
        <v>49</v>
      </c>
      <c r="B14" s="9" t="s">
        <v>48</v>
      </c>
      <c r="C14" s="9" t="n">
        <f aca="false">COUNTIF(Data!O2:O52,"&lt;&gt;")</f>
        <v>24</v>
      </c>
      <c r="D14" s="9" t="n">
        <f aca="false">SUM(Data!C2:C52)</f>
        <v>25</v>
      </c>
      <c r="E14" s="10" t="n">
        <f aca="false">IF(D14=0,0,C14/D14)</f>
        <v>0.96</v>
      </c>
      <c r="F14" s="11" t="s">
        <v>39</v>
      </c>
    </row>
    <row r="15" customFormat="false" ht="15" hidden="false" customHeight="true" outlineLevel="0" collapsed="false">
      <c r="A15" s="12" t="s">
        <v>50</v>
      </c>
      <c r="B15" s="12" t="s">
        <v>51</v>
      </c>
      <c r="C15" s="12" t="n">
        <f aca="false">COUNTIFS(Data!C2:C52,1,Data!P2:P52,"Yes")</f>
        <v>25</v>
      </c>
      <c r="D15" s="12" t="n">
        <f aca="false">SUM(Data!C2:C52)</f>
        <v>25</v>
      </c>
      <c r="E15" s="13" t="n">
        <f aca="false">IF(D15=0,0,C15/D15)</f>
        <v>1</v>
      </c>
      <c r="F15" s="14" t="s">
        <v>52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53</v>
      </c>
      <c r="B1" s="7"/>
      <c r="C1" s="7"/>
      <c r="D1" s="7"/>
    </row>
    <row r="3" customFormat="false" ht="15" hidden="false" customHeight="true" outlineLevel="0" collapsed="false">
      <c r="A3" s="15" t="s">
        <v>54</v>
      </c>
      <c r="B3" s="15"/>
      <c r="C3" s="15"/>
      <c r="D3" s="15"/>
    </row>
    <row r="5" customFormat="false" ht="15" hidden="false" customHeight="true" outlineLevel="0" collapsed="false">
      <c r="A5" s="16" t="s">
        <v>18</v>
      </c>
      <c r="B5" s="16" t="s">
        <v>55</v>
      </c>
      <c r="C5" s="16" t="s">
        <v>56</v>
      </c>
      <c r="D5" s="16" t="s">
        <v>33</v>
      </c>
    </row>
    <row r="6" customFormat="false" ht="15" hidden="false" customHeight="true" outlineLevel="0" collapsed="false">
      <c r="A6" s="9" t="s">
        <v>57</v>
      </c>
      <c r="B6" s="9" t="n">
        <f aca="false">SUMPRODUCT((Data!C2:C52=1)*(((Data!F2:F52&lt;&gt;"")+(Data!J2:J52&lt;&gt;"")+(Data!N2:N52&lt;&gt;"")+(Data!O2:O52&lt;&gt;""))=0))</f>
        <v>0</v>
      </c>
      <c r="C6" s="10" t="n">
        <f aca="false">IF(SUM(Data!C2:C52)=0,0,B6/SUM(Data!C2:C52))</f>
        <v>0</v>
      </c>
      <c r="D6" s="17"/>
    </row>
    <row r="7" customFormat="false" ht="15" hidden="false" customHeight="true" outlineLevel="0" collapsed="false">
      <c r="A7" s="9" t="s">
        <v>58</v>
      </c>
      <c r="B7" s="9" t="n">
        <f aca="false">SUMPRODUCT((Data!C2:C52=1)*(((Data!F2:F52&lt;&gt;"")+(Data!J2:J52&lt;&gt;"")+(Data!N2:N52&lt;&gt;"")+(Data!O2:O52&lt;&gt;""))=1))</f>
        <v>4</v>
      </c>
      <c r="C7" s="10" t="n">
        <f aca="false">IF(SUM(Data!C2:C52)=0,0,B7/SUM(Data!C2:C52))</f>
        <v>0.16</v>
      </c>
      <c r="D7" s="17"/>
    </row>
    <row r="8" customFormat="false" ht="15" hidden="false" customHeight="true" outlineLevel="0" collapsed="false">
      <c r="A8" s="9" t="s">
        <v>59</v>
      </c>
      <c r="B8" s="9" t="n">
        <f aca="false">SUMPRODUCT((Data!C2:C52=1)*(((Data!F2:F52&lt;&gt;"")+(Data!J2:J52&lt;&gt;"")+(Data!N2:N52&lt;&gt;"")+(Data!O2:O52&lt;&gt;""))=2))</f>
        <v>8</v>
      </c>
      <c r="C8" s="10" t="n">
        <f aca="false">IF(SUM(Data!C2:C52)=0,0,B8/SUM(Data!C2:C52))</f>
        <v>0.32</v>
      </c>
      <c r="D8" s="17"/>
    </row>
    <row r="9" customFormat="false" ht="15" hidden="false" customHeight="true" outlineLevel="0" collapsed="false">
      <c r="A9" s="9" t="s">
        <v>60</v>
      </c>
      <c r="B9" s="9" t="n">
        <f aca="false">SUMPRODUCT((Data!C2:C52=1)*(((Data!F2:F52&lt;&gt;"")+(Data!J2:J52&lt;&gt;"")+(Data!N2:N52&lt;&gt;"")+(Data!O2:O52&lt;&gt;""))=3))</f>
        <v>13</v>
      </c>
      <c r="C9" s="10" t="n">
        <f aca="false">IF(SUM(Data!C2:C52)=0,0,B9/SUM(Data!C2:C52))</f>
        <v>0.52</v>
      </c>
      <c r="D9" s="17"/>
    </row>
    <row r="10" customFormat="false" ht="15" hidden="false" customHeight="true" outlineLevel="0" collapsed="false">
      <c r="A10" s="9" t="s">
        <v>61</v>
      </c>
      <c r="B10" s="9" t="n">
        <f aca="false">SUMPRODUCT((Data!C2:C52=1)*(((Data!F2:F52&lt;&gt;"")+(Data!J2:J52&lt;&gt;"")+(Data!N2:N52&lt;&gt;"")+(Data!O2:O52&lt;&gt;""))=4))</f>
        <v>0</v>
      </c>
      <c r="C10" s="10" t="n">
        <f aca="false">IF(SUM(Data!C2:C52)=0,0,B10/SUM(Data!C2:C52))</f>
        <v>0</v>
      </c>
      <c r="D10" s="17"/>
    </row>
    <row r="11" customFormat="false" ht="15" hidden="false" customHeight="true" outlineLevel="0" collapsed="false">
      <c r="A11" s="12" t="s">
        <v>62</v>
      </c>
      <c r="B11" s="12" t="n">
        <f aca="false">SUM(B6:B10)</f>
        <v>25</v>
      </c>
    </row>
    <row r="13" customFormat="false" ht="15" hidden="false" customHeight="true" outlineLevel="0" collapsed="false">
      <c r="A13" s="9" t="s">
        <v>63</v>
      </c>
      <c r="B13" s="9" t="n">
        <f aca="false">COUNTIF(Data!E2:E52,"&lt;&gt;")+COUNTIF(Data!F2:F52,"&lt;&gt;")+COUNTIF(Data!G2:G52,"&lt;&gt;")+COUNTIF(Data!H2:H52,"&lt;&gt;")+COUNTIF(Data!I2:I52,"&lt;&gt;")+COUNTIF(Data!J2:J52,"&lt;&gt;")+COUNTIF(Data!K2:K52,"&lt;&gt;")+COUNTIF(Data!L2:L52,"&lt;&gt;")+COUNTIF(Data!M2:M52,"&lt;&gt;")+COUNTIF(Data!N2:N52,"&lt;&gt;")+COUNTIF(Data!O2:O52,"&lt;&gt;")</f>
        <v>59</v>
      </c>
    </row>
    <row r="14" customFormat="false" ht="15" hidden="false" customHeight="true" outlineLevel="0" collapsed="false">
      <c r="A14" s="9" t="s">
        <v>64</v>
      </c>
      <c r="B14" s="18" t="n">
        <f aca="false">B13/SUM(Data!C2:C52)</f>
        <v>2.36</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6" min="3" style="1" width="16"/>
    <col collapsed="false" customWidth="true" hidden="false" outlineLevel="0" max="7" min="7" style="1" width="42"/>
  </cols>
  <sheetData>
    <row r="1" customFormat="false" ht="15.75" hidden="false" customHeight="true" outlineLevel="0" collapsed="false">
      <c r="A1" s="7" t="s">
        <v>65</v>
      </c>
      <c r="B1" s="7"/>
      <c r="C1" s="7"/>
      <c r="D1" s="7"/>
      <c r="E1" s="7"/>
      <c r="F1" s="7"/>
    </row>
    <row r="3" customFormat="false" ht="26.25" hidden="false" customHeight="true" outlineLevel="0" collapsed="false">
      <c r="A3" s="8" t="s">
        <v>66</v>
      </c>
      <c r="B3" s="8" t="s">
        <v>67</v>
      </c>
      <c r="C3" s="8" t="s">
        <v>68</v>
      </c>
      <c r="D3" s="8" t="s">
        <v>9</v>
      </c>
      <c r="E3" s="8" t="s">
        <v>69</v>
      </c>
      <c r="F3" s="8" t="s">
        <v>33</v>
      </c>
    </row>
    <row r="4" customFormat="false" ht="15" hidden="false" customHeight="true" outlineLevel="0" collapsed="false">
      <c r="A4" s="9" t="s">
        <v>48</v>
      </c>
      <c r="B4" s="9" t="s">
        <v>70</v>
      </c>
      <c r="C4" s="9" t="n">
        <f aca="false">SUM(Data!Q2:Q52)</f>
        <v>24</v>
      </c>
      <c r="D4" s="9" t="n">
        <f aca="false">SUM(Data!C2:C52)</f>
        <v>25</v>
      </c>
      <c r="E4" s="10" t="n">
        <f aca="false">IF(D4=0,0,C4/D4)</f>
        <v>0.96</v>
      </c>
      <c r="F4" s="11" t="s">
        <v>71</v>
      </c>
    </row>
    <row r="5" customFormat="false" ht="15" hidden="false" customHeight="true" outlineLevel="0" collapsed="false">
      <c r="A5" s="9" t="s">
        <v>38</v>
      </c>
      <c r="B5" s="9" t="s">
        <v>72</v>
      </c>
      <c r="C5" s="9" t="n">
        <f aca="false">SUM(Data!R2:R52)</f>
        <v>19</v>
      </c>
      <c r="D5" s="9" t="n">
        <f aca="false">SUM(Data!C2:C52)</f>
        <v>25</v>
      </c>
      <c r="E5" s="10" t="n">
        <f aca="false">IF(D5=0,0,C5/D5)</f>
        <v>0.76</v>
      </c>
      <c r="F5" s="11" t="s">
        <v>73</v>
      </c>
    </row>
    <row r="6" customFormat="false" ht="15" hidden="false" customHeight="true" outlineLevel="0" collapsed="false">
      <c r="A6" s="9" t="s">
        <v>74</v>
      </c>
      <c r="B6" s="19" t="s">
        <v>75</v>
      </c>
      <c r="C6" s="9" t="n">
        <v>0</v>
      </c>
      <c r="D6" s="9" t="n">
        <f aca="false">SUM(Data!C2:C52)</f>
        <v>25</v>
      </c>
      <c r="E6" s="10" t="n">
        <v>0</v>
      </c>
      <c r="F6" s="11" t="s">
        <v>76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2"/>
  </cols>
  <sheetData>
    <row r="1" customFormat="false" ht="15.75" hidden="false" customHeight="true" outlineLevel="0" collapsed="false">
      <c r="A1" s="7" t="s">
        <v>77</v>
      </c>
      <c r="B1" s="7"/>
      <c r="C1" s="7"/>
      <c r="D1" s="7"/>
    </row>
    <row r="3" customFormat="false" ht="15" hidden="false" customHeight="true" outlineLevel="0" collapsed="false">
      <c r="A3" s="9" t="s">
        <v>78</v>
      </c>
      <c r="B3" s="9" t="n">
        <f aca="false">COUNTA(Data!A2:A52)</f>
        <v>51</v>
      </c>
      <c r="C3" s="17"/>
      <c r="D3" s="11"/>
    </row>
    <row r="4" customFormat="false" ht="15" hidden="false" customHeight="true" outlineLevel="0" collapsed="false">
      <c r="A4" s="9" t="s">
        <v>79</v>
      </c>
      <c r="B4" s="9" t="n">
        <v>12</v>
      </c>
      <c r="C4" s="17"/>
      <c r="D4" s="11"/>
    </row>
    <row r="5" customFormat="false" ht="15" hidden="false" customHeight="true" outlineLevel="0" collapsed="false">
      <c r="A5" s="9" t="s">
        <v>80</v>
      </c>
      <c r="B5" s="9" t="n">
        <f aca="false">SUM(Data!C2:C52)</f>
        <v>25</v>
      </c>
      <c r="C5" s="17"/>
      <c r="D5" s="11"/>
    </row>
    <row r="6" customFormat="false" ht="15" hidden="false" customHeight="true" outlineLevel="0" collapsed="false">
      <c r="A6" s="9" t="s">
        <v>81</v>
      </c>
      <c r="B6" s="9" t="n">
        <f aca="false">COUNTA(Data!A2:A52)-SUM(Data!C2:C52)</f>
        <v>26</v>
      </c>
      <c r="C6" s="17"/>
      <c r="D6" s="11"/>
    </row>
    <row r="7" customFormat="false" ht="15" hidden="false" customHeight="true" outlineLevel="0" collapsed="false">
      <c r="A7" s="9" t="s">
        <v>82</v>
      </c>
      <c r="B7" s="9" t="n">
        <f aca="false">SUMPRODUCT((Data!C2:C52=1)*(Data!D2:D52=0))</f>
        <v>0</v>
      </c>
      <c r="C7" s="17"/>
      <c r="D7" s="11" t="s">
        <v>83</v>
      </c>
    </row>
    <row r="8" customFormat="false" ht="15" hidden="false" customHeight="true" outlineLevel="0" collapsed="false">
      <c r="A8" s="9" t="s">
        <v>84</v>
      </c>
      <c r="B8" s="20" t="n">
        <f aca="false">IF(SUMPRODUCT((Data!C2:C52=1)*(Data!D2:D52&gt;0))=0,0,SUMIF(Data!C2:C52,1,Data!D2:D52)/SUMPRODUCT((Data!C2:C52=1)*(Data!D2:D52&gt;0)))</f>
        <v>3867.68</v>
      </c>
      <c r="C8" s="17"/>
      <c r="D8" s="11" t="s">
        <v>85</v>
      </c>
    </row>
    <row r="9" customFormat="false" ht="15" hidden="false" customHeight="true" outlineLevel="0" collapsed="false">
      <c r="A9" s="9" t="s">
        <v>86</v>
      </c>
      <c r="B9" s="9" t="n">
        <f aca="false">_xlfn.MINIFS(Data!D2:D52,Data!C2:C52,1,Data!D2:D52,"&gt;0")</f>
        <v>1362</v>
      </c>
      <c r="C9" s="17"/>
      <c r="D9" s="11"/>
    </row>
    <row r="10" customFormat="false" ht="15" hidden="false" customHeight="true" outlineLevel="0" collapsed="false">
      <c r="A10" s="9" t="s">
        <v>87</v>
      </c>
      <c r="B10" s="9" t="n">
        <f aca="false">_xlfn.MAXIFS(Data!D2:D52,Data!C2:C52,1)</f>
        <v>6818</v>
      </c>
      <c r="C10" s="17"/>
      <c r="D10" s="11"/>
    </row>
    <row r="12" customFormat="false" ht="15" hidden="false" customHeight="true" outlineLevel="0" collapsed="false">
      <c r="A12" s="21" t="s">
        <v>88</v>
      </c>
      <c r="B12" s="21"/>
      <c r="C12" s="21"/>
      <c r="D12" s="21"/>
    </row>
    <row r="13" customFormat="false" ht="15" hidden="false" customHeight="true" outlineLevel="0" collapsed="false">
      <c r="A13" s="16" t="s">
        <v>89</v>
      </c>
      <c r="B13" s="16" t="s">
        <v>90</v>
      </c>
      <c r="C13" s="16" t="s">
        <v>91</v>
      </c>
      <c r="D13" s="16" t="s">
        <v>92</v>
      </c>
    </row>
    <row r="14" customFormat="false" ht="15" hidden="false" customHeight="true" outlineLevel="0" collapsed="false">
      <c r="A14" s="9" t="s">
        <v>93</v>
      </c>
      <c r="B14" s="9" t="n">
        <f aca="false">COUNTIF(Data!B2:B52,A14)</f>
        <v>7</v>
      </c>
      <c r="C14" s="9" t="n">
        <f aca="false">COUNTIFS(Data!B2:B52,A14,Data!C2:C52,1)</f>
        <v>3</v>
      </c>
      <c r="D14" s="10" t="n">
        <f aca="false">IF(C14=0,0,(COUNTIFS(Data!B2:B52,A14,Data!C2:C52,1,Data!P2:P52,"Yes"))/C14)</f>
        <v>1</v>
      </c>
    </row>
    <row r="15" customFormat="false" ht="15" hidden="false" customHeight="true" outlineLevel="0" collapsed="false">
      <c r="A15" s="9" t="s">
        <v>94</v>
      </c>
      <c r="B15" s="9" t="n">
        <f aca="false">COUNTIF(Data!B2:B52,A15)</f>
        <v>4</v>
      </c>
      <c r="C15" s="9" t="n">
        <f aca="false">COUNTIFS(Data!B2:B52,A15,Data!C2:C52,1)</f>
        <v>2</v>
      </c>
      <c r="D15" s="10" t="n">
        <f aca="false">IF(C15=0,0,(COUNTIFS(Data!B2:B52,A15,Data!C2:C52,1,Data!P2:P52,"Yes"))/C15)</f>
        <v>1</v>
      </c>
    </row>
    <row r="16" customFormat="false" ht="15" hidden="false" customHeight="true" outlineLevel="0" collapsed="false">
      <c r="A16" s="9" t="s">
        <v>95</v>
      </c>
      <c r="B16" s="9" t="n">
        <f aca="false">COUNTIF(Data!B2:B52,A16)</f>
        <v>3</v>
      </c>
      <c r="C16" s="9" t="n">
        <f aca="false">COUNTIFS(Data!B2:B52,A16,Data!C2:C52,1)</f>
        <v>1</v>
      </c>
      <c r="D16" s="10" t="n">
        <f aca="false">IF(C16=0,0,(COUNTIFS(Data!B2:B52,A16,Data!C2:C52,1,Data!P2:P52,"Yes"))/C16)</f>
        <v>1</v>
      </c>
    </row>
    <row r="17" customFormat="false" ht="15" hidden="false" customHeight="true" outlineLevel="0" collapsed="false">
      <c r="A17" s="9" t="s">
        <v>96</v>
      </c>
      <c r="B17" s="9" t="n">
        <f aca="false">COUNTIF(Data!B2:B52,A17)</f>
        <v>4</v>
      </c>
      <c r="C17" s="9" t="n">
        <f aca="false">COUNTIFS(Data!B2:B52,A17,Data!C2:C52,1)</f>
        <v>1</v>
      </c>
      <c r="D17" s="10" t="n">
        <f aca="false">IF(C17=0,0,(COUNTIFS(Data!B2:B52,A17,Data!C2:C52,1,Data!P2:P52,"Yes"))/C17)</f>
        <v>1</v>
      </c>
    </row>
    <row r="18" customFormat="false" ht="15" hidden="false" customHeight="true" outlineLevel="0" collapsed="false">
      <c r="A18" s="9" t="s">
        <v>97</v>
      </c>
      <c r="B18" s="9" t="n">
        <f aca="false">COUNTIF(Data!B2:B52,A18)</f>
        <v>11</v>
      </c>
      <c r="C18" s="9" t="n">
        <f aca="false">COUNTIFS(Data!B2:B52,A18,Data!C2:C52,1)</f>
        <v>6</v>
      </c>
      <c r="D18" s="10" t="n">
        <f aca="false">IF(C18=0,0,(COUNTIFS(Data!B2:B52,A18,Data!C2:C52,1,Data!P2:P52,"Yes"))/C18)</f>
        <v>1</v>
      </c>
    </row>
    <row r="19" customFormat="false" ht="15" hidden="false" customHeight="true" outlineLevel="0" collapsed="false">
      <c r="A19" s="9" t="s">
        <v>98</v>
      </c>
      <c r="B19" s="9" t="n">
        <f aca="false">COUNTIF(Data!B2:B52,A19)</f>
        <v>3</v>
      </c>
      <c r="C19" s="9" t="n">
        <f aca="false">COUNTIFS(Data!B2:B52,A19,Data!C2:C52,1)</f>
        <v>1</v>
      </c>
      <c r="D19" s="10" t="n">
        <f aca="false">IF(C19=0,0,(COUNTIFS(Data!B2:B52,A19,Data!C2:C52,1,Data!P2:P52,"Yes"))/C19)</f>
        <v>1</v>
      </c>
    </row>
    <row r="20" customFormat="false" ht="15" hidden="false" customHeight="true" outlineLevel="0" collapsed="false">
      <c r="A20" s="9" t="s">
        <v>99</v>
      </c>
      <c r="B20" s="9" t="n">
        <f aca="false">COUNTIF(Data!B2:B52,A20)</f>
        <v>5</v>
      </c>
      <c r="C20" s="9" t="n">
        <f aca="false">COUNTIFS(Data!B2:B52,A20,Data!C2:C52,1)</f>
        <v>2</v>
      </c>
      <c r="D20" s="10" t="n">
        <f aca="false">IF(C20=0,0,(COUNTIFS(Data!B2:B52,A20,Data!C2:C52,1,Data!P2:P52,"Yes"))/C20)</f>
        <v>1</v>
      </c>
    </row>
    <row r="21" customFormat="false" ht="15" hidden="false" customHeight="true" outlineLevel="0" collapsed="false">
      <c r="A21" s="9" t="s">
        <v>100</v>
      </c>
      <c r="B21" s="9" t="n">
        <f aca="false">COUNTIF(Data!B2:B52,A21)</f>
        <v>7</v>
      </c>
      <c r="C21" s="9" t="n">
        <f aca="false">COUNTIFS(Data!B2:B52,A21,Data!C2:C52,1)</f>
        <v>4</v>
      </c>
      <c r="D21" s="10" t="n">
        <f aca="false">IF(C21=0,0,(COUNTIFS(Data!B2:B52,A21,Data!C2:C52,1,Data!P2:P52,"Yes"))/C21)</f>
        <v>1</v>
      </c>
    </row>
    <row r="22" customFormat="false" ht="15" hidden="false" customHeight="true" outlineLevel="0" collapsed="false">
      <c r="A22" s="9" t="s">
        <v>101</v>
      </c>
      <c r="B22" s="9" t="n">
        <f aca="false">COUNTIF(Data!B2:B52,A22)</f>
        <v>1</v>
      </c>
      <c r="C22" s="9" t="n">
        <f aca="false">COUNTIFS(Data!B2:B52,A22,Data!C2:C52,1)</f>
        <v>1</v>
      </c>
      <c r="D22" s="10" t="n">
        <f aca="false">IF(C22=0,0,(COUNTIFS(Data!B2:B52,A22,Data!C2:C52,1,Data!P2:P52,"Yes"))/C22)</f>
        <v>1</v>
      </c>
    </row>
    <row r="23" customFormat="false" ht="15" hidden="false" customHeight="true" outlineLevel="0" collapsed="false">
      <c r="A23" s="9" t="s">
        <v>102</v>
      </c>
      <c r="B23" s="9" t="n">
        <f aca="false">COUNTIF(Data!B2:B52,A23)</f>
        <v>1</v>
      </c>
      <c r="C23" s="9" t="n">
        <f aca="false">COUNTIFS(Data!B2:B52,A23,Data!C2:C52,1)</f>
        <v>1</v>
      </c>
      <c r="D23" s="10" t="n">
        <f aca="false">IF(C23=0,0,(COUNTIFS(Data!B2:B52,A23,Data!C2:C52,1,Data!P2:P52,"Yes"))/C23)</f>
        <v>1</v>
      </c>
    </row>
    <row r="24" customFormat="false" ht="15" hidden="false" customHeight="true" outlineLevel="0" collapsed="false">
      <c r="A24" s="9" t="s">
        <v>103</v>
      </c>
      <c r="B24" s="9" t="n">
        <f aca="false">COUNTIF(Data!B2:B52,A24)</f>
        <v>2</v>
      </c>
      <c r="C24" s="9" t="n">
        <f aca="false">COUNTIFS(Data!B2:B52,A24,Data!C2:C52,1)</f>
        <v>2</v>
      </c>
      <c r="D24" s="10" t="n">
        <f aca="false">IF(C24=0,0,(COUNTIFS(Data!B2:B52,A24,Data!C2:C52,1,Data!P2:P52,"Yes"))/C24)</f>
        <v>1</v>
      </c>
    </row>
    <row r="25" customFormat="false" ht="15" hidden="false" customHeight="true" outlineLevel="0" collapsed="false">
      <c r="A25" s="9" t="s">
        <v>104</v>
      </c>
      <c r="B25" s="9" t="n">
        <f aca="false">COUNTIF(Data!B2:B52,A25)</f>
        <v>3</v>
      </c>
      <c r="C25" s="9" t="n">
        <f aca="false">COUNTIFS(Data!B2:B52,A25,Data!C2:C52,1)</f>
        <v>1</v>
      </c>
      <c r="D25" s="10" t="n">
        <f aca="false">IF(C25=0,0,(COUNTIFS(Data!B2:B52,A25,Data!C2:C52,1,Data!P2:P52,"Yes"))/C25)</f>
        <v>1</v>
      </c>
    </row>
  </sheetData>
  <mergeCells count="2">
    <mergeCell ref="A1:D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105</v>
      </c>
      <c r="B1" s="7"/>
      <c r="C1" s="7"/>
      <c r="D1" s="7"/>
    </row>
    <row r="2" customFormat="false" ht="15" hidden="false" customHeight="true" outlineLevel="0" collapsed="false">
      <c r="A2" s="15" t="s">
        <v>106</v>
      </c>
      <c r="B2" s="15"/>
      <c r="C2" s="15"/>
      <c r="D2" s="15"/>
    </row>
    <row r="4" customFormat="false" ht="15" hidden="false" customHeight="true" outlineLevel="0" collapsed="false">
      <c r="A4" s="16" t="s">
        <v>107</v>
      </c>
      <c r="B4" s="16" t="s">
        <v>108</v>
      </c>
      <c r="C4" s="16" t="s">
        <v>56</v>
      </c>
      <c r="D4" s="16" t="s">
        <v>109</v>
      </c>
    </row>
    <row r="5" customFormat="false" ht="15" hidden="false" customHeight="true" outlineLevel="0" collapsed="false">
      <c r="A5" s="9" t="s">
        <v>110</v>
      </c>
      <c r="B5" s="9" t="n">
        <f aca="false">SUMPRODUCT((Data!C2:C52=1)*(Data!Q2:Q52=1)*(Data!R2:R52=1))</f>
        <v>18</v>
      </c>
      <c r="C5" s="10" t="n">
        <f aca="false">IF(SUM(Data!C2:C52)=0,0,B5/SUM(Data!C2:C52))</f>
        <v>0.72</v>
      </c>
      <c r="D5" s="11" t="s">
        <v>111</v>
      </c>
    </row>
    <row r="6" customFormat="false" ht="15" hidden="false" customHeight="true" outlineLevel="0" collapsed="false">
      <c r="A6" s="9" t="s">
        <v>112</v>
      </c>
      <c r="B6" s="9" t="n">
        <f aca="false">SUMPRODUCT((Data!C2:C52=1)*(Data!Q2:Q52=1)*(Data!R2:R52=0))</f>
        <v>6</v>
      </c>
      <c r="C6" s="10" t="n">
        <f aca="false">IF(SUM(Data!C2:C52)=0,0,B6/SUM(Data!C2:C52))</f>
        <v>0.24</v>
      </c>
      <c r="D6" s="11" t="s">
        <v>113</v>
      </c>
    </row>
    <row r="7" customFormat="false" ht="15" hidden="false" customHeight="true" outlineLevel="0" collapsed="false">
      <c r="A7" s="9" t="s">
        <v>114</v>
      </c>
      <c r="B7" s="9" t="n">
        <f aca="false">SUMPRODUCT((Data!C2:C52=1)*(Data!Q2:Q52=0)*(Data!R2:R52=1))</f>
        <v>1</v>
      </c>
      <c r="C7" s="10" t="n">
        <f aca="false">IF(SUM(Data!C2:C52)=0,0,B7/SUM(Data!C2:C52))</f>
        <v>0.04</v>
      </c>
      <c r="D7" s="11" t="s">
        <v>115</v>
      </c>
    </row>
    <row r="8" customFormat="false" ht="15" hidden="false" customHeight="true" outlineLevel="0" collapsed="false">
      <c r="A8" s="9" t="s">
        <v>116</v>
      </c>
      <c r="B8" s="9" t="n">
        <f aca="false">SUMPRODUCT((Data!C2:C52=1)*(Data!Q2:Q52=0)*(Data!R2:R52=0))</f>
        <v>0</v>
      </c>
      <c r="C8" s="10" t="n">
        <f aca="false">IF(SUM(Data!C2:C52)=0,0,B8/SUM(Data!C2:C52))</f>
        <v>0</v>
      </c>
      <c r="D8" s="11" t="s">
        <v>117</v>
      </c>
    </row>
    <row r="10" customFormat="false" ht="15" hidden="false" customHeight="true" outlineLevel="0" collapsed="false">
      <c r="A10" s="22" t="s">
        <v>118</v>
      </c>
      <c r="B10" s="22" t="n">
        <f aca="false">B5+B6+B7</f>
        <v>25</v>
      </c>
    </row>
    <row r="11" customFormat="false" ht="15" hidden="false" customHeight="true" outlineLevel="0" collapsed="false">
      <c r="A11" s="12" t="s">
        <v>119</v>
      </c>
      <c r="B11" s="23" t="n">
        <f aca="false">IF(B10=0,0,B5/B10)</f>
        <v>0.72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
  </cols>
  <sheetData>
    <row r="1" customFormat="false" ht="17.25" hidden="false" customHeight="true" outlineLevel="0" collapsed="false">
      <c r="A1" s="2" t="s">
        <v>120</v>
      </c>
    </row>
    <row r="3" customFormat="false" ht="30" hidden="false" customHeight="true" outlineLevel="0" collapsed="false">
      <c r="A3" s="4" t="str">
        <f aca="false">"1. Bytecode resolution: "&amp;SUM(Data!C2:C52)&amp;" of "&amp;COUNTA(Data!A2:A52)&amp;" queried addresses ("&amp;TEXT(SUM(Data!C2:C52)/COUNTA(Data!A2:A52),"0.0%")&amp;") resolved to deployed bytecode; the rest are EOAs, unverified, or not found on-chain."</f>
        <v>1. Bytecode resolution: 25 of 51 queried addresses (49.0%) resolved to deployed bytecode; the rest are EOAs, unverified, or not found on-chain.</v>
      </c>
    </row>
    <row r="4" customFormat="false" ht="30" hidden="false" customHeight="true" outlineLevel="0" collapsed="false">
      <c r="A4" s="4" t="str">
        <f aca="false">"2. Detection coverage: only MAIAN and Mythril produced any detections. Reentrancy, Access Control, Delegatecall, Unchecked Call, TOD, DoS, Selfdestruct all show zero hits in this bytecode run."</f>
        <v>2. Detection coverage: only MAIAN and Mythril produced any detections. Reentrancy, Access Control, Delegatecall, Unchecked Call, TOD, DoS, Selfdestruct all show zero hits in this bytecode run.</v>
      </c>
    </row>
    <row r="5" customFormat="false" ht="30" hidden="false" customHeight="true" outlineLevel="0" collapsed="false">
      <c r="A5" s="4" t="str">
        <f aca="false">"3. Mythril flag rate ("&amp;TEXT(Tool_Wise_Analysis!E5,"0.0%")&amp;") vs MAIAN flag rate ("&amp;TEXT(Tool_Wise_Analysis!E4,"0.0%")&amp;") among resolved contracts."</f>
        <v>3. Mythril flag rate (76.0%) vs MAIAN flag rate (96.0%) among resolved contracts.</v>
      </c>
    </row>
    <row r="6" customFormat="false" ht="30" hidden="false" customHeight="true" outlineLevel="0" collapsed="false">
      <c r="A6" s="4" t="str">
        <f aca="false">"4. Tool overlap: Jaccard(MAIAN, Mythril) = "&amp;TEXT(Agreement_Jaccard!B11,"0.0000")&amp;" — "&amp;Agreement_Jaccard!B5&amp;" contracts triggered both tools, "&amp;Agreement_Jaccard!B6&amp;" only MAIAN, "&amp;Agreement_Jaccard!B7&amp;" only Mythril."</f>
        <v>4. Tool overlap: Jaccard(MAIAN, Mythril) = 0.7200 — 18 contracts triggered both tools, 6 only MAIAN, 1 only Mythril.</v>
      </c>
    </row>
    <row r="7" customFormat="false" ht="30" hidden="false" customHeight="true" outlineLevel="0" collapsed="false">
      <c r="A7" s="4" t="str">
        <f aca="false">"5. "&amp;Per_Vulnerability_Analysis!C15&amp;" of "&amp;Per_Vulnerability_Analysis!D15&amp;" resolved contracts ("&amp;TEXT(Per_Vulnerability_Analysis!C15/Per_Vulnerability_Analysis!D15,"0.0%")&amp;") were flagged by at least one tool."</f>
        <v>5. 25 of 25 resolved contracts (100.0%) were flagged by at least one tool.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5.75" hidden="false" customHeight="true" outlineLevel="0" collapsed="false">
      <c r="A1" s="24" t="s">
        <v>121</v>
      </c>
    </row>
    <row r="2" customFormat="false" ht="21.75" hidden="false" customHeight="true" outlineLevel="0" collapsed="false">
      <c r="A2" s="25" t="s">
        <v>122</v>
      </c>
    </row>
    <row r="4" customFormat="false" ht="15.75" hidden="false" customHeight="true" outlineLevel="0" collapsed="false">
      <c r="A4" s="26" t="s">
        <v>123</v>
      </c>
    </row>
    <row r="5" customFormat="false" ht="31.5" hidden="false" customHeight="true" outlineLevel="0" collapsed="false">
      <c r="A5" s="27" t="s">
        <v>124</v>
      </c>
    </row>
    <row r="6" customFormat="false" ht="43.5" hidden="false" customHeight="true" outlineLevel="0" collapsed="false">
      <c r="A6" s="27" t="s">
        <v>125</v>
      </c>
    </row>
    <row r="8" customFormat="false" ht="15.75" hidden="false" customHeight="true" outlineLevel="0" collapsed="false">
      <c r="A8" s="26" t="s">
        <v>126</v>
      </c>
    </row>
    <row r="9" customFormat="false" ht="31.5" hidden="false" customHeight="true" outlineLevel="0" collapsed="false">
      <c r="A9" s="27" t="s">
        <v>127</v>
      </c>
    </row>
    <row r="11" customFormat="false" ht="15.75" hidden="false" customHeight="true" outlineLevel="0" collapsed="false">
      <c r="A11" s="26" t="s">
        <v>128</v>
      </c>
    </row>
    <row r="12" customFormat="false" ht="31.5" hidden="false" customHeight="true" outlineLevel="0" collapsed="false">
      <c r="A12" s="27" t="s">
        <v>129</v>
      </c>
    </row>
    <row r="13" customFormat="false" ht="43.5" hidden="false" customHeight="true" outlineLevel="0" collapsed="false">
      <c r="A13" s="27" t="s">
        <v>130</v>
      </c>
    </row>
    <row r="14" customFormat="false" ht="55.5" hidden="false" customHeight="true" outlineLevel="0" collapsed="false">
      <c r="A14" s="27" t="s">
        <v>131</v>
      </c>
    </row>
    <row r="16" customFormat="false" ht="15.75" hidden="false" customHeight="true" outlineLevel="0" collapsed="false">
      <c r="A16" s="26" t="s">
        <v>132</v>
      </c>
    </row>
    <row r="17" customFormat="false" ht="31.5" hidden="false" customHeight="true" outlineLevel="0" collapsed="false">
      <c r="A17" s="27" t="s">
        <v>133</v>
      </c>
    </row>
    <row r="19" customFormat="false" ht="15.75" hidden="false" customHeight="true" outlineLevel="0" collapsed="false">
      <c r="A19" s="26" t="s">
        <v>134</v>
      </c>
    </row>
    <row r="20" customFormat="false" ht="31.5" hidden="false" customHeight="true" outlineLevel="0" collapsed="false">
      <c r="A20" s="27" t="s">
        <v>135</v>
      </c>
    </row>
    <row r="22" customFormat="false" ht="15.75" hidden="false" customHeight="true" outlineLevel="0" collapsed="false">
      <c r="A22" s="28" t="s">
        <v>136</v>
      </c>
    </row>
    <row r="23" customFormat="false" ht="55.5" hidden="false" customHeight="true" outlineLevel="0" collapsed="false">
      <c r="A23" s="27"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15" min="5" style="1" width="12"/>
    <col collapsed="false" customWidth="true" hidden="false" outlineLevel="0" max="16" min="16" style="1" width="11"/>
    <col collapsed="false" customWidth="true" hidden="false" outlineLevel="0" max="18" min="17" style="1" width="13"/>
  </cols>
  <sheetData>
    <row r="1" customFormat="false" ht="15" hidden="false" customHeight="true" outlineLevel="0" collapsed="false">
      <c r="A1" s="16" t="s">
        <v>138</v>
      </c>
      <c r="B1" s="16" t="s">
        <v>89</v>
      </c>
      <c r="C1" s="16" t="s">
        <v>139</v>
      </c>
      <c r="D1" s="16" t="s">
        <v>140</v>
      </c>
      <c r="E1" s="16" t="s">
        <v>34</v>
      </c>
      <c r="F1" s="16" t="s">
        <v>37</v>
      </c>
      <c r="G1" s="16" t="s">
        <v>141</v>
      </c>
      <c r="H1" s="16" t="s">
        <v>41</v>
      </c>
      <c r="I1" s="16" t="s">
        <v>142</v>
      </c>
      <c r="J1" s="16" t="s">
        <v>43</v>
      </c>
      <c r="K1" s="16" t="s">
        <v>44</v>
      </c>
      <c r="L1" s="16" t="s">
        <v>45</v>
      </c>
      <c r="M1" s="16" t="s">
        <v>46</v>
      </c>
      <c r="N1" s="16" t="s">
        <v>143</v>
      </c>
      <c r="O1" s="16" t="s">
        <v>144</v>
      </c>
      <c r="P1" s="16" t="s">
        <v>145</v>
      </c>
      <c r="Q1" s="16" t="s">
        <v>146</v>
      </c>
      <c r="R1" s="16" t="s">
        <v>147</v>
      </c>
    </row>
    <row r="2" customFormat="false" ht="15" hidden="false" customHeight="true" outlineLevel="0" collapsed="false">
      <c r="A2" s="9" t="s">
        <v>148</v>
      </c>
      <c r="B2" s="9" t="s">
        <v>93</v>
      </c>
      <c r="C2" s="9" t="n">
        <v>0</v>
      </c>
      <c r="D2" s="9" t="n">
        <v>0</v>
      </c>
      <c r="E2" s="9"/>
      <c r="F2" s="9"/>
      <c r="G2" s="9"/>
      <c r="H2" s="9"/>
      <c r="I2" s="9"/>
      <c r="J2" s="9"/>
      <c r="K2" s="9"/>
      <c r="L2" s="9"/>
      <c r="M2" s="9"/>
      <c r="N2" s="9"/>
      <c r="O2" s="9"/>
      <c r="P2" s="9" t="s">
        <v>149</v>
      </c>
      <c r="Q2" s="9" t="n">
        <v>0</v>
      </c>
      <c r="R2" s="9" t="n">
        <v>0</v>
      </c>
    </row>
    <row r="3" customFormat="false" ht="15" hidden="false" customHeight="true" outlineLevel="0" collapsed="false">
      <c r="A3" s="9" t="s">
        <v>150</v>
      </c>
      <c r="B3" s="9" t="s">
        <v>93</v>
      </c>
      <c r="C3" s="9" t="n">
        <v>0</v>
      </c>
      <c r="D3" s="9" t="n">
        <v>0</v>
      </c>
      <c r="E3" s="9"/>
      <c r="F3" s="9"/>
      <c r="G3" s="9"/>
      <c r="H3" s="9"/>
      <c r="I3" s="9"/>
      <c r="J3" s="9"/>
      <c r="K3" s="9"/>
      <c r="L3" s="9"/>
      <c r="M3" s="9"/>
      <c r="N3" s="9"/>
      <c r="O3" s="9"/>
      <c r="P3" s="9" t="s">
        <v>149</v>
      </c>
      <c r="Q3" s="9" t="n">
        <v>0</v>
      </c>
      <c r="R3" s="9" t="n">
        <v>0</v>
      </c>
    </row>
    <row r="4" customFormat="false" ht="15" hidden="false" customHeight="true" outlineLevel="0" collapsed="false">
      <c r="A4" s="9" t="s">
        <v>151</v>
      </c>
      <c r="B4" s="9" t="s">
        <v>93</v>
      </c>
      <c r="C4" s="9" t="n">
        <v>1</v>
      </c>
      <c r="D4" s="9" t="n">
        <v>4844</v>
      </c>
      <c r="E4" s="9"/>
      <c r="F4" s="9" t="s">
        <v>38</v>
      </c>
      <c r="G4" s="9"/>
      <c r="H4" s="9"/>
      <c r="I4" s="9"/>
      <c r="J4" s="9" t="s">
        <v>38</v>
      </c>
      <c r="K4" s="9"/>
      <c r="L4" s="9"/>
      <c r="M4" s="9"/>
      <c r="N4" s="9"/>
      <c r="O4" s="9" t="s">
        <v>48</v>
      </c>
      <c r="P4" s="9" t="s">
        <v>152</v>
      </c>
      <c r="Q4" s="9" t="n">
        <v>1</v>
      </c>
      <c r="R4" s="9" t="n">
        <v>1</v>
      </c>
    </row>
    <row r="5" customFormat="false" ht="15" hidden="false" customHeight="true" outlineLevel="0" collapsed="false">
      <c r="A5" s="9" t="s">
        <v>153</v>
      </c>
      <c r="B5" s="9" t="s">
        <v>93</v>
      </c>
      <c r="C5" s="9" t="n">
        <v>1</v>
      </c>
      <c r="D5" s="9" t="n">
        <v>6818</v>
      </c>
      <c r="E5" s="9"/>
      <c r="F5" s="9" t="s">
        <v>38</v>
      </c>
      <c r="G5" s="9"/>
      <c r="H5" s="9"/>
      <c r="I5" s="9"/>
      <c r="J5" s="9"/>
      <c r="K5" s="9"/>
      <c r="L5" s="9"/>
      <c r="M5" s="9"/>
      <c r="N5" s="9"/>
      <c r="O5" s="9" t="s">
        <v>48</v>
      </c>
      <c r="P5" s="9" t="s">
        <v>152</v>
      </c>
      <c r="Q5" s="9" t="n">
        <v>1</v>
      </c>
      <c r="R5" s="9" t="n">
        <v>1</v>
      </c>
    </row>
    <row r="6" customFormat="false" ht="15" hidden="false" customHeight="true" outlineLevel="0" collapsed="false">
      <c r="A6" s="9" t="s">
        <v>154</v>
      </c>
      <c r="B6" s="9" t="s">
        <v>93</v>
      </c>
      <c r="C6" s="9" t="n">
        <v>1</v>
      </c>
      <c r="D6" s="9" t="n">
        <v>1924</v>
      </c>
      <c r="E6" s="9"/>
      <c r="F6" s="9" t="s">
        <v>38</v>
      </c>
      <c r="G6" s="9"/>
      <c r="H6" s="9"/>
      <c r="I6" s="9"/>
      <c r="J6" s="9" t="s">
        <v>38</v>
      </c>
      <c r="K6" s="9"/>
      <c r="L6" s="9"/>
      <c r="M6" s="9"/>
      <c r="N6" s="9"/>
      <c r="O6" s="9" t="s">
        <v>48</v>
      </c>
      <c r="P6" s="9" t="s">
        <v>152</v>
      </c>
      <c r="Q6" s="9" t="n">
        <v>1</v>
      </c>
      <c r="R6" s="9" t="n">
        <v>1</v>
      </c>
    </row>
    <row r="7" customFormat="false" ht="15" hidden="false" customHeight="true" outlineLevel="0" collapsed="false">
      <c r="A7" s="9" t="s">
        <v>155</v>
      </c>
      <c r="B7" s="9" t="s">
        <v>93</v>
      </c>
      <c r="C7" s="9" t="n">
        <v>0</v>
      </c>
      <c r="D7" s="9" t="n">
        <v>0</v>
      </c>
      <c r="E7" s="9"/>
      <c r="F7" s="9"/>
      <c r="G7" s="9"/>
      <c r="H7" s="9"/>
      <c r="I7" s="9"/>
      <c r="J7" s="9"/>
      <c r="K7" s="9"/>
      <c r="L7" s="9"/>
      <c r="M7" s="9"/>
      <c r="N7" s="9"/>
      <c r="O7" s="9"/>
      <c r="P7" s="9" t="s">
        <v>149</v>
      </c>
      <c r="Q7" s="9" t="n">
        <v>0</v>
      </c>
      <c r="R7" s="9" t="n">
        <v>0</v>
      </c>
    </row>
    <row r="8" customFormat="false" ht="15" hidden="false" customHeight="true" outlineLevel="0" collapsed="false">
      <c r="A8" s="9" t="s">
        <v>156</v>
      </c>
      <c r="B8" s="9" t="s">
        <v>93</v>
      </c>
      <c r="C8" s="9" t="n">
        <v>0</v>
      </c>
      <c r="D8" s="9" t="n">
        <v>0</v>
      </c>
      <c r="E8" s="9"/>
      <c r="F8" s="9"/>
      <c r="G8" s="9"/>
      <c r="H8" s="9"/>
      <c r="I8" s="9"/>
      <c r="J8" s="9"/>
      <c r="K8" s="9"/>
      <c r="L8" s="9"/>
      <c r="M8" s="9"/>
      <c r="N8" s="9"/>
      <c r="O8" s="9"/>
      <c r="P8" s="9" t="s">
        <v>149</v>
      </c>
      <c r="Q8" s="9" t="n">
        <v>0</v>
      </c>
      <c r="R8" s="9" t="n">
        <v>0</v>
      </c>
    </row>
    <row r="9" customFormat="false" ht="15" hidden="false" customHeight="true" outlineLevel="0" collapsed="false">
      <c r="A9" s="9" t="s">
        <v>157</v>
      </c>
      <c r="B9" s="9" t="s">
        <v>94</v>
      </c>
      <c r="C9" s="9" t="n">
        <v>1</v>
      </c>
      <c r="D9" s="9" t="n">
        <v>1924</v>
      </c>
      <c r="E9" s="9"/>
      <c r="F9" s="9" t="s">
        <v>38</v>
      </c>
      <c r="G9" s="9"/>
      <c r="H9" s="9"/>
      <c r="I9" s="9"/>
      <c r="J9" s="9" t="s">
        <v>38</v>
      </c>
      <c r="K9" s="9"/>
      <c r="L9" s="9"/>
      <c r="M9" s="9"/>
      <c r="N9" s="9"/>
      <c r="O9" s="9" t="s">
        <v>48</v>
      </c>
      <c r="P9" s="9" t="s">
        <v>152</v>
      </c>
      <c r="Q9" s="9" t="n">
        <v>1</v>
      </c>
      <c r="R9" s="9" t="n">
        <v>1</v>
      </c>
    </row>
    <row r="10" customFormat="false" ht="15" hidden="false" customHeight="true" outlineLevel="0" collapsed="false">
      <c r="A10" s="9" t="s">
        <v>158</v>
      </c>
      <c r="B10" s="9" t="s">
        <v>94</v>
      </c>
      <c r="C10" s="9" t="n">
        <v>0</v>
      </c>
      <c r="D10" s="9" t="n">
        <v>0</v>
      </c>
      <c r="E10" s="9"/>
      <c r="F10" s="9"/>
      <c r="G10" s="9"/>
      <c r="H10" s="9"/>
      <c r="I10" s="9"/>
      <c r="J10" s="9"/>
      <c r="K10" s="9"/>
      <c r="L10" s="9"/>
      <c r="M10" s="9"/>
      <c r="N10" s="9"/>
      <c r="O10" s="9"/>
      <c r="P10" s="9" t="s">
        <v>149</v>
      </c>
      <c r="Q10" s="9" t="n">
        <v>0</v>
      </c>
      <c r="R10" s="9" t="n">
        <v>0</v>
      </c>
    </row>
    <row r="11" customFormat="false" ht="15" hidden="false" customHeight="true" outlineLevel="0" collapsed="false">
      <c r="A11" s="9" t="s">
        <v>159</v>
      </c>
      <c r="B11" s="9" t="s">
        <v>94</v>
      </c>
      <c r="C11" s="9" t="n">
        <v>1</v>
      </c>
      <c r="D11" s="9" t="n">
        <v>5194</v>
      </c>
      <c r="E11" s="9"/>
      <c r="F11" s="9"/>
      <c r="G11" s="9"/>
      <c r="H11" s="9"/>
      <c r="I11" s="9"/>
      <c r="J11" s="9" t="s">
        <v>38</v>
      </c>
      <c r="K11" s="9"/>
      <c r="L11" s="9"/>
      <c r="M11" s="9"/>
      <c r="N11" s="9"/>
      <c r="O11" s="9" t="s">
        <v>48</v>
      </c>
      <c r="P11" s="9" t="s">
        <v>152</v>
      </c>
      <c r="Q11" s="9" t="n">
        <v>1</v>
      </c>
      <c r="R11" s="9" t="n">
        <v>1</v>
      </c>
    </row>
    <row r="12" customFormat="false" ht="15" hidden="false" customHeight="true" outlineLevel="0" collapsed="false">
      <c r="A12" s="9" t="s">
        <v>160</v>
      </c>
      <c r="B12" s="9" t="s">
        <v>94</v>
      </c>
      <c r="C12" s="9" t="n">
        <v>0</v>
      </c>
      <c r="D12" s="9" t="n">
        <v>0</v>
      </c>
      <c r="E12" s="9"/>
      <c r="F12" s="9"/>
      <c r="G12" s="9"/>
      <c r="H12" s="9"/>
      <c r="I12" s="9"/>
      <c r="J12" s="9"/>
      <c r="K12" s="9"/>
      <c r="L12" s="9"/>
      <c r="M12" s="9"/>
      <c r="N12" s="9"/>
      <c r="O12" s="9"/>
      <c r="P12" s="9" t="s">
        <v>149</v>
      </c>
      <c r="Q12" s="9" t="n">
        <v>0</v>
      </c>
      <c r="R12" s="9" t="n">
        <v>0</v>
      </c>
    </row>
    <row r="13" customFormat="false" ht="15" hidden="false" customHeight="true" outlineLevel="0" collapsed="false">
      <c r="A13" s="9" t="s">
        <v>161</v>
      </c>
      <c r="B13" s="9" t="s">
        <v>95</v>
      </c>
      <c r="C13" s="9" t="n">
        <v>1</v>
      </c>
      <c r="D13" s="9" t="n">
        <v>1362</v>
      </c>
      <c r="E13" s="9"/>
      <c r="F13" s="9"/>
      <c r="G13" s="9"/>
      <c r="H13" s="9"/>
      <c r="I13" s="9"/>
      <c r="J13" s="9"/>
      <c r="K13" s="9"/>
      <c r="L13" s="9"/>
      <c r="M13" s="9"/>
      <c r="N13" s="9"/>
      <c r="O13" s="9" t="s">
        <v>48</v>
      </c>
      <c r="P13" s="9" t="s">
        <v>152</v>
      </c>
      <c r="Q13" s="9" t="n">
        <v>1</v>
      </c>
      <c r="R13" s="9" t="n">
        <v>0</v>
      </c>
    </row>
    <row r="14" customFormat="false" ht="15" hidden="false" customHeight="true" outlineLevel="0" collapsed="false">
      <c r="A14" s="9" t="s">
        <v>162</v>
      </c>
      <c r="B14" s="9" t="s">
        <v>95</v>
      </c>
      <c r="C14" s="9" t="n">
        <v>0</v>
      </c>
      <c r="D14" s="9" t="n">
        <v>0</v>
      </c>
      <c r="E14" s="9"/>
      <c r="F14" s="9"/>
      <c r="G14" s="9"/>
      <c r="H14" s="9"/>
      <c r="I14" s="9"/>
      <c r="J14" s="9"/>
      <c r="K14" s="9"/>
      <c r="L14" s="9"/>
      <c r="M14" s="9"/>
      <c r="N14" s="9"/>
      <c r="O14" s="9"/>
      <c r="P14" s="9" t="s">
        <v>149</v>
      </c>
      <c r="Q14" s="9" t="n">
        <v>0</v>
      </c>
      <c r="R14" s="9" t="n">
        <v>0</v>
      </c>
    </row>
    <row r="15" customFormat="false" ht="15" hidden="false" customHeight="true" outlineLevel="0" collapsed="false">
      <c r="A15" s="9" t="s">
        <v>163</v>
      </c>
      <c r="B15" s="9" t="s">
        <v>95</v>
      </c>
      <c r="C15" s="9" t="n">
        <v>0</v>
      </c>
      <c r="D15" s="9" t="n">
        <v>0</v>
      </c>
      <c r="E15" s="9"/>
      <c r="F15" s="9"/>
      <c r="G15" s="9"/>
      <c r="H15" s="9"/>
      <c r="I15" s="9"/>
      <c r="J15" s="9"/>
      <c r="K15" s="9"/>
      <c r="L15" s="9"/>
      <c r="M15" s="9"/>
      <c r="N15" s="9"/>
      <c r="O15" s="9"/>
      <c r="P15" s="9" t="s">
        <v>149</v>
      </c>
      <c r="Q15" s="9" t="n">
        <v>0</v>
      </c>
      <c r="R15" s="9" t="n">
        <v>0</v>
      </c>
    </row>
    <row r="16" customFormat="false" ht="15" hidden="false" customHeight="true" outlineLevel="0" collapsed="false">
      <c r="A16" s="9" t="s">
        <v>164</v>
      </c>
      <c r="B16" s="9" t="s">
        <v>96</v>
      </c>
      <c r="C16" s="9" t="n">
        <v>0</v>
      </c>
      <c r="D16" s="9" t="n">
        <v>0</v>
      </c>
      <c r="E16" s="9"/>
      <c r="F16" s="9"/>
      <c r="G16" s="9"/>
      <c r="H16" s="9"/>
      <c r="I16" s="9"/>
      <c r="J16" s="9"/>
      <c r="K16" s="9"/>
      <c r="L16" s="9"/>
      <c r="M16" s="9"/>
      <c r="N16" s="9"/>
      <c r="O16" s="9"/>
      <c r="P16" s="9" t="s">
        <v>149</v>
      </c>
      <c r="Q16" s="9" t="n">
        <v>0</v>
      </c>
      <c r="R16" s="9" t="n">
        <v>0</v>
      </c>
    </row>
    <row r="17" customFormat="false" ht="15" hidden="false" customHeight="true" outlineLevel="0" collapsed="false">
      <c r="A17" s="9" t="s">
        <v>165</v>
      </c>
      <c r="B17" s="9" t="s">
        <v>96</v>
      </c>
      <c r="C17" s="9" t="n">
        <v>0</v>
      </c>
      <c r="D17" s="9" t="n">
        <v>0</v>
      </c>
      <c r="E17" s="9"/>
      <c r="F17" s="9"/>
      <c r="G17" s="9"/>
      <c r="H17" s="9"/>
      <c r="I17" s="9"/>
      <c r="J17" s="9"/>
      <c r="K17" s="9"/>
      <c r="L17" s="9"/>
      <c r="M17" s="9"/>
      <c r="N17" s="9"/>
      <c r="O17" s="9"/>
      <c r="P17" s="9" t="s">
        <v>149</v>
      </c>
      <c r="Q17" s="9" t="n">
        <v>0</v>
      </c>
      <c r="R17" s="9" t="n">
        <v>0</v>
      </c>
    </row>
    <row r="18" customFormat="false" ht="15" hidden="false" customHeight="true" outlineLevel="0" collapsed="false">
      <c r="A18" s="9" t="s">
        <v>166</v>
      </c>
      <c r="B18" s="9" t="s">
        <v>96</v>
      </c>
      <c r="C18" s="9" t="n">
        <v>0</v>
      </c>
      <c r="D18" s="9" t="n">
        <v>0</v>
      </c>
      <c r="E18" s="9"/>
      <c r="F18" s="9"/>
      <c r="G18" s="9"/>
      <c r="H18" s="9"/>
      <c r="I18" s="9"/>
      <c r="J18" s="9"/>
      <c r="K18" s="9"/>
      <c r="L18" s="9"/>
      <c r="M18" s="9"/>
      <c r="N18" s="9"/>
      <c r="O18" s="9"/>
      <c r="P18" s="9" t="s">
        <v>149</v>
      </c>
      <c r="Q18" s="9" t="n">
        <v>0</v>
      </c>
      <c r="R18" s="9" t="n">
        <v>0</v>
      </c>
    </row>
    <row r="19" customFormat="false" ht="15" hidden="false" customHeight="true" outlineLevel="0" collapsed="false">
      <c r="A19" s="9" t="s">
        <v>167</v>
      </c>
      <c r="B19" s="9" t="s">
        <v>96</v>
      </c>
      <c r="C19" s="9" t="n">
        <v>1</v>
      </c>
      <c r="D19" s="9" t="n">
        <v>1924</v>
      </c>
      <c r="E19" s="9"/>
      <c r="F19" s="9" t="s">
        <v>38</v>
      </c>
      <c r="G19" s="9"/>
      <c r="H19" s="9"/>
      <c r="I19" s="9"/>
      <c r="J19" s="9" t="s">
        <v>38</v>
      </c>
      <c r="K19" s="9"/>
      <c r="L19" s="9"/>
      <c r="M19" s="9"/>
      <c r="N19" s="9"/>
      <c r="O19" s="9" t="s">
        <v>48</v>
      </c>
      <c r="P19" s="9" t="s">
        <v>152</v>
      </c>
      <c r="Q19" s="9" t="n">
        <v>1</v>
      </c>
      <c r="R19" s="9" t="n">
        <v>1</v>
      </c>
    </row>
    <row r="20" customFormat="false" ht="15" hidden="false" customHeight="true" outlineLevel="0" collapsed="false">
      <c r="A20" s="9" t="s">
        <v>168</v>
      </c>
      <c r="B20" s="9" t="s">
        <v>97</v>
      </c>
      <c r="C20" s="9" t="n">
        <v>0</v>
      </c>
      <c r="D20" s="9" t="n">
        <v>0</v>
      </c>
      <c r="E20" s="9"/>
      <c r="F20" s="9"/>
      <c r="G20" s="9"/>
      <c r="H20" s="9"/>
      <c r="I20" s="9"/>
      <c r="J20" s="9"/>
      <c r="K20" s="9"/>
      <c r="L20" s="9"/>
      <c r="M20" s="9"/>
      <c r="N20" s="9"/>
      <c r="O20" s="9"/>
      <c r="P20" s="9" t="s">
        <v>149</v>
      </c>
      <c r="Q20" s="9" t="n">
        <v>0</v>
      </c>
      <c r="R20" s="9" t="n">
        <v>0</v>
      </c>
    </row>
    <row r="21" customFormat="false" ht="15" hidden="false" customHeight="true" outlineLevel="0" collapsed="false">
      <c r="A21" s="9" t="s">
        <v>169</v>
      </c>
      <c r="B21" s="9" t="s">
        <v>97</v>
      </c>
      <c r="C21" s="9" t="n">
        <v>1</v>
      </c>
      <c r="D21" s="9" t="n">
        <v>6818</v>
      </c>
      <c r="E21" s="9"/>
      <c r="F21" s="9" t="s">
        <v>38</v>
      </c>
      <c r="G21" s="9"/>
      <c r="H21" s="9"/>
      <c r="I21" s="9"/>
      <c r="J21" s="9"/>
      <c r="K21" s="9"/>
      <c r="L21" s="9"/>
      <c r="M21" s="9"/>
      <c r="N21" s="9"/>
      <c r="O21" s="9" t="s">
        <v>48</v>
      </c>
      <c r="P21" s="9" t="s">
        <v>152</v>
      </c>
      <c r="Q21" s="9" t="n">
        <v>1</v>
      </c>
      <c r="R21" s="9" t="n">
        <v>1</v>
      </c>
    </row>
    <row r="22" customFormat="false" ht="15" hidden="false" customHeight="true" outlineLevel="0" collapsed="false">
      <c r="A22" s="9" t="s">
        <v>170</v>
      </c>
      <c r="B22" s="9" t="s">
        <v>97</v>
      </c>
      <c r="C22" s="9" t="n">
        <v>0</v>
      </c>
      <c r="D22" s="9" t="n">
        <v>0</v>
      </c>
      <c r="E22" s="9"/>
      <c r="F22" s="9"/>
      <c r="G22" s="9"/>
      <c r="H22" s="9"/>
      <c r="I22" s="9"/>
      <c r="J22" s="9"/>
      <c r="K22" s="9"/>
      <c r="L22" s="9"/>
      <c r="M22" s="9"/>
      <c r="N22" s="9"/>
      <c r="O22" s="9"/>
      <c r="P22" s="9" t="s">
        <v>149</v>
      </c>
      <c r="Q22" s="9" t="n">
        <v>0</v>
      </c>
      <c r="R22" s="9" t="n">
        <v>0</v>
      </c>
    </row>
    <row r="23" customFormat="false" ht="15" hidden="false" customHeight="true" outlineLevel="0" collapsed="false">
      <c r="A23" s="9" t="s">
        <v>171</v>
      </c>
      <c r="B23" s="9" t="s">
        <v>97</v>
      </c>
      <c r="C23" s="9" t="n">
        <v>0</v>
      </c>
      <c r="D23" s="9" t="n">
        <v>0</v>
      </c>
      <c r="E23" s="9"/>
      <c r="F23" s="9"/>
      <c r="G23" s="9"/>
      <c r="H23" s="9"/>
      <c r="I23" s="9"/>
      <c r="J23" s="9"/>
      <c r="K23" s="9"/>
      <c r="L23" s="9"/>
      <c r="M23" s="9"/>
      <c r="N23" s="9"/>
      <c r="O23" s="9"/>
      <c r="P23" s="9" t="s">
        <v>149</v>
      </c>
      <c r="Q23" s="9" t="n">
        <v>0</v>
      </c>
      <c r="R23" s="9" t="n">
        <v>0</v>
      </c>
    </row>
    <row r="24" customFormat="false" ht="15" hidden="false" customHeight="true" outlineLevel="0" collapsed="false">
      <c r="A24" s="9" t="s">
        <v>172</v>
      </c>
      <c r="B24" s="9" t="s">
        <v>97</v>
      </c>
      <c r="C24" s="9" t="n">
        <v>0</v>
      </c>
      <c r="D24" s="9" t="n">
        <v>0</v>
      </c>
      <c r="E24" s="9"/>
      <c r="F24" s="9"/>
      <c r="G24" s="9"/>
      <c r="H24" s="9"/>
      <c r="I24" s="9"/>
      <c r="J24" s="9"/>
      <c r="K24" s="9"/>
      <c r="L24" s="9"/>
      <c r="M24" s="9"/>
      <c r="N24" s="9"/>
      <c r="O24" s="9"/>
      <c r="P24" s="9" t="s">
        <v>149</v>
      </c>
      <c r="Q24" s="9" t="n">
        <v>0</v>
      </c>
      <c r="R24" s="9" t="n">
        <v>0</v>
      </c>
    </row>
    <row r="25" customFormat="false" ht="15" hidden="false" customHeight="true" outlineLevel="0" collapsed="false">
      <c r="A25" s="9" t="s">
        <v>173</v>
      </c>
      <c r="B25" s="9" t="s">
        <v>97</v>
      </c>
      <c r="C25" s="9" t="n">
        <v>1</v>
      </c>
      <c r="D25" s="9" t="n">
        <v>1924</v>
      </c>
      <c r="E25" s="9"/>
      <c r="F25" s="9" t="s">
        <v>38</v>
      </c>
      <c r="G25" s="9"/>
      <c r="H25" s="9"/>
      <c r="I25" s="9"/>
      <c r="J25" s="9" t="s">
        <v>38</v>
      </c>
      <c r="K25" s="9"/>
      <c r="L25" s="9"/>
      <c r="M25" s="9"/>
      <c r="N25" s="9"/>
      <c r="O25" s="9" t="s">
        <v>48</v>
      </c>
      <c r="P25" s="9" t="s">
        <v>152</v>
      </c>
      <c r="Q25" s="9" t="n">
        <v>1</v>
      </c>
      <c r="R25" s="9" t="n">
        <v>1</v>
      </c>
    </row>
    <row r="26" customFormat="false" ht="15" hidden="false" customHeight="true" outlineLevel="0" collapsed="false">
      <c r="A26" s="9" t="s">
        <v>174</v>
      </c>
      <c r="B26" s="9" t="s">
        <v>97</v>
      </c>
      <c r="C26" s="9" t="n">
        <v>1</v>
      </c>
      <c r="D26" s="9" t="n">
        <v>1362</v>
      </c>
      <c r="E26" s="9"/>
      <c r="F26" s="9"/>
      <c r="G26" s="9"/>
      <c r="H26" s="9"/>
      <c r="I26" s="9"/>
      <c r="J26" s="9"/>
      <c r="K26" s="9"/>
      <c r="L26" s="9"/>
      <c r="M26" s="9"/>
      <c r="N26" s="9"/>
      <c r="O26" s="9" t="s">
        <v>48</v>
      </c>
      <c r="P26" s="9" t="s">
        <v>152</v>
      </c>
      <c r="Q26" s="9" t="n">
        <v>1</v>
      </c>
      <c r="R26" s="9" t="n">
        <v>0</v>
      </c>
    </row>
    <row r="27" customFormat="false" ht="15" hidden="false" customHeight="true" outlineLevel="0" collapsed="false">
      <c r="A27" s="9" t="s">
        <v>175</v>
      </c>
      <c r="B27" s="9" t="s">
        <v>97</v>
      </c>
      <c r="C27" s="9" t="n">
        <v>1</v>
      </c>
      <c r="D27" s="9" t="n">
        <v>5024</v>
      </c>
      <c r="E27" s="9"/>
      <c r="F27" s="9" t="s">
        <v>38</v>
      </c>
      <c r="G27" s="9"/>
      <c r="H27" s="9"/>
      <c r="I27" s="9"/>
      <c r="J27" s="9"/>
      <c r="K27" s="9"/>
      <c r="L27" s="9"/>
      <c r="M27" s="9"/>
      <c r="N27" s="9"/>
      <c r="O27" s="9"/>
      <c r="P27" s="9" t="s">
        <v>152</v>
      </c>
      <c r="Q27" s="9" t="n">
        <v>0</v>
      </c>
      <c r="R27" s="9" t="n">
        <v>1</v>
      </c>
    </row>
    <row r="28" customFormat="false" ht="15" hidden="false" customHeight="true" outlineLevel="0" collapsed="false">
      <c r="A28" s="9" t="s">
        <v>176</v>
      </c>
      <c r="B28" s="9" t="s">
        <v>97</v>
      </c>
      <c r="C28" s="9" t="n">
        <v>0</v>
      </c>
      <c r="D28" s="9" t="n">
        <v>0</v>
      </c>
      <c r="E28" s="9"/>
      <c r="F28" s="9"/>
      <c r="G28" s="9"/>
      <c r="H28" s="9"/>
      <c r="I28" s="9"/>
      <c r="J28" s="9"/>
      <c r="K28" s="9"/>
      <c r="L28" s="9"/>
      <c r="M28" s="9"/>
      <c r="N28" s="9"/>
      <c r="O28" s="9"/>
      <c r="P28" s="9" t="s">
        <v>149</v>
      </c>
      <c r="Q28" s="9" t="n">
        <v>0</v>
      </c>
      <c r="R28" s="9" t="n">
        <v>0</v>
      </c>
    </row>
    <row r="29" customFormat="false" ht="15" hidden="false" customHeight="true" outlineLevel="0" collapsed="false">
      <c r="A29" s="9" t="s">
        <v>177</v>
      </c>
      <c r="B29" s="9" t="s">
        <v>97</v>
      </c>
      <c r="C29" s="9" t="n">
        <v>1</v>
      </c>
      <c r="D29" s="9" t="n">
        <v>6250</v>
      </c>
      <c r="E29" s="9"/>
      <c r="F29" s="9"/>
      <c r="G29" s="9"/>
      <c r="H29" s="9"/>
      <c r="I29" s="9"/>
      <c r="J29" s="9"/>
      <c r="K29" s="9"/>
      <c r="L29" s="9"/>
      <c r="M29" s="9"/>
      <c r="N29" s="9" t="s">
        <v>48</v>
      </c>
      <c r="O29" s="9" t="s">
        <v>48</v>
      </c>
      <c r="P29" s="9" t="s">
        <v>152</v>
      </c>
      <c r="Q29" s="9" t="n">
        <v>1</v>
      </c>
      <c r="R29" s="9" t="n">
        <v>0</v>
      </c>
    </row>
    <row r="30" customFormat="false" ht="15" hidden="false" customHeight="true" outlineLevel="0" collapsed="false">
      <c r="A30" s="9" t="s">
        <v>178</v>
      </c>
      <c r="B30" s="9" t="s">
        <v>97</v>
      </c>
      <c r="C30" s="9" t="n">
        <v>1</v>
      </c>
      <c r="D30" s="9" t="n">
        <v>4844</v>
      </c>
      <c r="E30" s="9"/>
      <c r="F30" s="9" t="s">
        <v>38</v>
      </c>
      <c r="G30" s="9"/>
      <c r="H30" s="9"/>
      <c r="I30" s="9"/>
      <c r="J30" s="9" t="s">
        <v>38</v>
      </c>
      <c r="K30" s="9"/>
      <c r="L30" s="9"/>
      <c r="M30" s="9"/>
      <c r="N30" s="9"/>
      <c r="O30" s="9" t="s">
        <v>48</v>
      </c>
      <c r="P30" s="9" t="s">
        <v>152</v>
      </c>
      <c r="Q30" s="9" t="n">
        <v>1</v>
      </c>
      <c r="R30" s="9" t="n">
        <v>1</v>
      </c>
    </row>
    <row r="31" customFormat="false" ht="15" hidden="false" customHeight="true" outlineLevel="0" collapsed="false">
      <c r="A31" s="9" t="s">
        <v>179</v>
      </c>
      <c r="B31" s="9" t="s">
        <v>98</v>
      </c>
      <c r="C31" s="9" t="n">
        <v>0</v>
      </c>
      <c r="D31" s="9" t="n">
        <v>0</v>
      </c>
      <c r="E31" s="9"/>
      <c r="F31" s="9"/>
      <c r="G31" s="9"/>
      <c r="H31" s="9"/>
      <c r="I31" s="9"/>
      <c r="J31" s="9"/>
      <c r="K31" s="9"/>
      <c r="L31" s="9"/>
      <c r="M31" s="9"/>
      <c r="N31" s="9"/>
      <c r="O31" s="9"/>
      <c r="P31" s="9" t="s">
        <v>149</v>
      </c>
      <c r="Q31" s="9" t="n">
        <v>0</v>
      </c>
      <c r="R31" s="9" t="n">
        <v>0</v>
      </c>
    </row>
    <row r="32" customFormat="false" ht="15" hidden="false" customHeight="true" outlineLevel="0" collapsed="false">
      <c r="A32" s="9" t="s">
        <v>180</v>
      </c>
      <c r="B32" s="9" t="s">
        <v>98</v>
      </c>
      <c r="C32" s="9" t="n">
        <v>1</v>
      </c>
      <c r="D32" s="9" t="n">
        <v>6642</v>
      </c>
      <c r="E32" s="9"/>
      <c r="F32" s="9" t="s">
        <v>38</v>
      </c>
      <c r="G32" s="9"/>
      <c r="H32" s="9"/>
      <c r="I32" s="9"/>
      <c r="J32" s="9"/>
      <c r="K32" s="9"/>
      <c r="L32" s="9"/>
      <c r="M32" s="9"/>
      <c r="N32" s="9"/>
      <c r="O32" s="9" t="s">
        <v>48</v>
      </c>
      <c r="P32" s="9" t="s">
        <v>152</v>
      </c>
      <c r="Q32" s="9" t="n">
        <v>1</v>
      </c>
      <c r="R32" s="9" t="n">
        <v>1</v>
      </c>
    </row>
    <row r="33" customFormat="false" ht="15" hidden="false" customHeight="true" outlineLevel="0" collapsed="false">
      <c r="A33" s="9" t="s">
        <v>181</v>
      </c>
      <c r="B33" s="9" t="s">
        <v>98</v>
      </c>
      <c r="C33" s="9" t="n">
        <v>0</v>
      </c>
      <c r="D33" s="9" t="n">
        <v>0</v>
      </c>
      <c r="E33" s="9"/>
      <c r="F33" s="9"/>
      <c r="G33" s="9"/>
      <c r="H33" s="9"/>
      <c r="I33" s="9"/>
      <c r="J33" s="9"/>
      <c r="K33" s="9"/>
      <c r="L33" s="9"/>
      <c r="M33" s="9"/>
      <c r="N33" s="9"/>
      <c r="O33" s="9"/>
      <c r="P33" s="9" t="s">
        <v>149</v>
      </c>
      <c r="Q33" s="9" t="n">
        <v>0</v>
      </c>
      <c r="R33" s="9" t="n">
        <v>0</v>
      </c>
    </row>
    <row r="34" customFormat="false" ht="15" hidden="false" customHeight="true" outlineLevel="0" collapsed="false">
      <c r="A34" s="9" t="s">
        <v>182</v>
      </c>
      <c r="B34" s="9" t="s">
        <v>99</v>
      </c>
      <c r="C34" s="9" t="n">
        <v>0</v>
      </c>
      <c r="D34" s="9" t="n">
        <v>0</v>
      </c>
      <c r="E34" s="9"/>
      <c r="F34" s="9"/>
      <c r="G34" s="9"/>
      <c r="H34" s="9"/>
      <c r="I34" s="9"/>
      <c r="J34" s="9"/>
      <c r="K34" s="9"/>
      <c r="L34" s="9"/>
      <c r="M34" s="9"/>
      <c r="N34" s="9"/>
      <c r="O34" s="9"/>
      <c r="P34" s="9" t="s">
        <v>149</v>
      </c>
      <c r="Q34" s="9" t="n">
        <v>0</v>
      </c>
      <c r="R34" s="9" t="n">
        <v>0</v>
      </c>
    </row>
    <row r="35" customFormat="false" ht="15" hidden="false" customHeight="true" outlineLevel="0" collapsed="false">
      <c r="A35" s="9" t="s">
        <v>183</v>
      </c>
      <c r="B35" s="9" t="s">
        <v>99</v>
      </c>
      <c r="C35" s="9" t="n">
        <v>1</v>
      </c>
      <c r="D35" s="9" t="n">
        <v>1924</v>
      </c>
      <c r="E35" s="9"/>
      <c r="F35" s="9" t="s">
        <v>38</v>
      </c>
      <c r="G35" s="9"/>
      <c r="H35" s="9"/>
      <c r="I35" s="9"/>
      <c r="J35" s="9" t="s">
        <v>38</v>
      </c>
      <c r="K35" s="9"/>
      <c r="L35" s="9"/>
      <c r="M35" s="9"/>
      <c r="N35" s="9"/>
      <c r="O35" s="9" t="s">
        <v>48</v>
      </c>
      <c r="P35" s="9" t="s">
        <v>152</v>
      </c>
      <c r="Q35" s="9" t="n">
        <v>1</v>
      </c>
      <c r="R35" s="9" t="n">
        <v>1</v>
      </c>
    </row>
    <row r="36" customFormat="false" ht="15" hidden="false" customHeight="true" outlineLevel="0" collapsed="false">
      <c r="A36" s="9" t="s">
        <v>184</v>
      </c>
      <c r="B36" s="9" t="s">
        <v>99</v>
      </c>
      <c r="C36" s="9" t="n">
        <v>1</v>
      </c>
      <c r="D36" s="9" t="n">
        <v>6250</v>
      </c>
      <c r="E36" s="9"/>
      <c r="F36" s="9"/>
      <c r="G36" s="9"/>
      <c r="H36" s="9"/>
      <c r="I36" s="9"/>
      <c r="J36" s="9"/>
      <c r="K36" s="9"/>
      <c r="L36" s="9"/>
      <c r="M36" s="9"/>
      <c r="N36" s="9" t="s">
        <v>48</v>
      </c>
      <c r="O36" s="9" t="s">
        <v>48</v>
      </c>
      <c r="P36" s="9" t="s">
        <v>152</v>
      </c>
      <c r="Q36" s="9" t="n">
        <v>1</v>
      </c>
      <c r="R36" s="9" t="n">
        <v>0</v>
      </c>
    </row>
    <row r="37" customFormat="false" ht="15" hidden="false" customHeight="true" outlineLevel="0" collapsed="false">
      <c r="A37" s="9" t="s">
        <v>185</v>
      </c>
      <c r="B37" s="9" t="s">
        <v>99</v>
      </c>
      <c r="C37" s="9" t="n">
        <v>0</v>
      </c>
      <c r="D37" s="9" t="n">
        <v>0</v>
      </c>
      <c r="E37" s="9"/>
      <c r="F37" s="9"/>
      <c r="G37" s="9"/>
      <c r="H37" s="9"/>
      <c r="I37" s="9"/>
      <c r="J37" s="9"/>
      <c r="K37" s="9"/>
      <c r="L37" s="9"/>
      <c r="M37" s="9"/>
      <c r="N37" s="9"/>
      <c r="O37" s="9"/>
      <c r="P37" s="9" t="s">
        <v>149</v>
      </c>
      <c r="Q37" s="9" t="n">
        <v>0</v>
      </c>
      <c r="R37" s="9" t="n">
        <v>0</v>
      </c>
    </row>
    <row r="38" customFormat="false" ht="15" hidden="false" customHeight="true" outlineLevel="0" collapsed="false">
      <c r="A38" s="9" t="s">
        <v>186</v>
      </c>
      <c r="B38" s="9" t="s">
        <v>99</v>
      </c>
      <c r="C38" s="9" t="n">
        <v>0</v>
      </c>
      <c r="D38" s="9" t="n">
        <v>0</v>
      </c>
      <c r="E38" s="9"/>
      <c r="F38" s="9"/>
      <c r="G38" s="9"/>
      <c r="H38" s="9"/>
      <c r="I38" s="9"/>
      <c r="J38" s="9"/>
      <c r="K38" s="9"/>
      <c r="L38" s="9"/>
      <c r="M38" s="9"/>
      <c r="N38" s="9"/>
      <c r="O38" s="9"/>
      <c r="P38" s="9" t="s">
        <v>149</v>
      </c>
      <c r="Q38" s="9" t="n">
        <v>0</v>
      </c>
      <c r="R38" s="9" t="n">
        <v>0</v>
      </c>
    </row>
    <row r="39" customFormat="false" ht="15" hidden="false" customHeight="true" outlineLevel="0" collapsed="false">
      <c r="A39" s="9" t="s">
        <v>187</v>
      </c>
      <c r="B39" s="9" t="s">
        <v>100</v>
      </c>
      <c r="C39" s="9" t="n">
        <v>1</v>
      </c>
      <c r="D39" s="9" t="n">
        <v>1924</v>
      </c>
      <c r="E39" s="9"/>
      <c r="F39" s="9" t="s">
        <v>38</v>
      </c>
      <c r="G39" s="9"/>
      <c r="H39" s="9"/>
      <c r="I39" s="9"/>
      <c r="J39" s="9" t="s">
        <v>38</v>
      </c>
      <c r="K39" s="9"/>
      <c r="L39" s="9"/>
      <c r="M39" s="9"/>
      <c r="N39" s="9"/>
      <c r="O39" s="9" t="s">
        <v>48</v>
      </c>
      <c r="P39" s="9" t="s">
        <v>152</v>
      </c>
      <c r="Q39" s="9" t="n">
        <v>1</v>
      </c>
      <c r="R39" s="9" t="n">
        <v>1</v>
      </c>
    </row>
    <row r="40" customFormat="false" ht="15" hidden="false" customHeight="true" outlineLevel="0" collapsed="false">
      <c r="A40" s="9" t="s">
        <v>188</v>
      </c>
      <c r="B40" s="9" t="s">
        <v>100</v>
      </c>
      <c r="C40" s="9" t="n">
        <v>0</v>
      </c>
      <c r="D40" s="9" t="n">
        <v>0</v>
      </c>
      <c r="E40" s="9"/>
      <c r="F40" s="9"/>
      <c r="G40" s="9"/>
      <c r="H40" s="9"/>
      <c r="I40" s="9"/>
      <c r="J40" s="9"/>
      <c r="K40" s="9"/>
      <c r="L40" s="9"/>
      <c r="M40" s="9"/>
      <c r="N40" s="9"/>
      <c r="O40" s="9"/>
      <c r="P40" s="9" t="s">
        <v>149</v>
      </c>
      <c r="Q40" s="9" t="n">
        <v>0</v>
      </c>
      <c r="R40" s="9" t="n">
        <v>0</v>
      </c>
    </row>
    <row r="41" customFormat="false" ht="15" hidden="false" customHeight="true" outlineLevel="0" collapsed="false">
      <c r="A41" s="9" t="s">
        <v>189</v>
      </c>
      <c r="B41" s="9" t="s">
        <v>100</v>
      </c>
      <c r="C41" s="9" t="n">
        <v>1</v>
      </c>
      <c r="D41" s="9" t="n">
        <v>6002</v>
      </c>
      <c r="E41" s="9"/>
      <c r="F41" s="9"/>
      <c r="G41" s="9"/>
      <c r="H41" s="9"/>
      <c r="I41" s="9"/>
      <c r="J41" s="9"/>
      <c r="K41" s="9"/>
      <c r="L41" s="9"/>
      <c r="M41" s="9"/>
      <c r="N41" s="9" t="s">
        <v>48</v>
      </c>
      <c r="O41" s="9" t="s">
        <v>48</v>
      </c>
      <c r="P41" s="9" t="s">
        <v>152</v>
      </c>
      <c r="Q41" s="9" t="n">
        <v>1</v>
      </c>
      <c r="R41" s="9" t="n">
        <v>0</v>
      </c>
    </row>
    <row r="42" customFormat="false" ht="15" hidden="false" customHeight="true" outlineLevel="0" collapsed="false">
      <c r="A42" s="9" t="s">
        <v>190</v>
      </c>
      <c r="B42" s="9" t="s">
        <v>100</v>
      </c>
      <c r="C42" s="9" t="n">
        <v>1</v>
      </c>
      <c r="D42" s="9" t="n">
        <v>4844</v>
      </c>
      <c r="E42" s="9"/>
      <c r="F42" s="9" t="s">
        <v>38</v>
      </c>
      <c r="G42" s="9"/>
      <c r="H42" s="9"/>
      <c r="I42" s="9"/>
      <c r="J42" s="9" t="s">
        <v>38</v>
      </c>
      <c r="K42" s="9"/>
      <c r="L42" s="9"/>
      <c r="M42" s="9"/>
      <c r="N42" s="9"/>
      <c r="O42" s="9" t="s">
        <v>48</v>
      </c>
      <c r="P42" s="9" t="s">
        <v>152</v>
      </c>
      <c r="Q42" s="9" t="n">
        <v>1</v>
      </c>
      <c r="R42" s="9" t="n">
        <v>1</v>
      </c>
    </row>
    <row r="43" customFormat="false" ht="15" hidden="false" customHeight="true" outlineLevel="0" collapsed="false">
      <c r="A43" s="9" t="s">
        <v>191</v>
      </c>
      <c r="B43" s="9" t="s">
        <v>100</v>
      </c>
      <c r="C43" s="9" t="n">
        <v>1</v>
      </c>
      <c r="D43" s="9" t="n">
        <v>1460</v>
      </c>
      <c r="E43" s="9"/>
      <c r="F43" s="9"/>
      <c r="G43" s="9"/>
      <c r="H43" s="9"/>
      <c r="I43" s="9"/>
      <c r="J43" s="9"/>
      <c r="K43" s="9"/>
      <c r="L43" s="9"/>
      <c r="M43" s="9"/>
      <c r="N43" s="9"/>
      <c r="O43" s="9" t="s">
        <v>48</v>
      </c>
      <c r="P43" s="9" t="s">
        <v>152</v>
      </c>
      <c r="Q43" s="9" t="n">
        <v>1</v>
      </c>
      <c r="R43" s="9" t="n">
        <v>0</v>
      </c>
    </row>
    <row r="44" customFormat="false" ht="15" hidden="false" customHeight="true" outlineLevel="0" collapsed="false">
      <c r="A44" s="9" t="s">
        <v>192</v>
      </c>
      <c r="B44" s="9" t="s">
        <v>100</v>
      </c>
      <c r="C44" s="9" t="n">
        <v>0</v>
      </c>
      <c r="D44" s="9" t="n">
        <v>0</v>
      </c>
      <c r="E44" s="9"/>
      <c r="F44" s="9"/>
      <c r="G44" s="9"/>
      <c r="H44" s="9"/>
      <c r="I44" s="9"/>
      <c r="J44" s="9"/>
      <c r="K44" s="9"/>
      <c r="L44" s="9"/>
      <c r="M44" s="9"/>
      <c r="N44" s="9"/>
      <c r="O44" s="9"/>
      <c r="P44" s="9" t="s">
        <v>149</v>
      </c>
      <c r="Q44" s="9" t="n">
        <v>0</v>
      </c>
      <c r="R44" s="9" t="n">
        <v>0</v>
      </c>
    </row>
    <row r="45" customFormat="false" ht="15" hidden="false" customHeight="true" outlineLevel="0" collapsed="false">
      <c r="A45" s="9" t="s">
        <v>193</v>
      </c>
      <c r="B45" s="9" t="s">
        <v>100</v>
      </c>
      <c r="C45" s="9" t="n">
        <v>0</v>
      </c>
      <c r="D45" s="9" t="n">
        <v>0</v>
      </c>
      <c r="E45" s="9"/>
      <c r="F45" s="9"/>
      <c r="G45" s="9"/>
      <c r="H45" s="9"/>
      <c r="I45" s="9"/>
      <c r="J45" s="9"/>
      <c r="K45" s="9"/>
      <c r="L45" s="9"/>
      <c r="M45" s="9"/>
      <c r="N45" s="9"/>
      <c r="O45" s="9"/>
      <c r="P45" s="9" t="s">
        <v>149</v>
      </c>
      <c r="Q45" s="9" t="n">
        <v>0</v>
      </c>
      <c r="R45" s="9" t="n">
        <v>0</v>
      </c>
    </row>
    <row r="46" customFormat="false" ht="15" hidden="false" customHeight="true" outlineLevel="0" collapsed="false">
      <c r="A46" s="9" t="s">
        <v>194</v>
      </c>
      <c r="B46" s="9" t="s">
        <v>101</v>
      </c>
      <c r="C46" s="9" t="n">
        <v>1</v>
      </c>
      <c r="D46" s="9" t="n">
        <v>4844</v>
      </c>
      <c r="E46" s="9"/>
      <c r="F46" s="9" t="s">
        <v>38</v>
      </c>
      <c r="G46" s="9"/>
      <c r="H46" s="9"/>
      <c r="I46" s="9"/>
      <c r="J46" s="9" t="s">
        <v>38</v>
      </c>
      <c r="K46" s="9"/>
      <c r="L46" s="9"/>
      <c r="M46" s="9"/>
      <c r="N46" s="9"/>
      <c r="O46" s="9" t="s">
        <v>48</v>
      </c>
      <c r="P46" s="9" t="s">
        <v>152</v>
      </c>
      <c r="Q46" s="9" t="n">
        <v>1</v>
      </c>
      <c r="R46" s="9" t="n">
        <v>1</v>
      </c>
    </row>
    <row r="47" customFormat="false" ht="15" hidden="false" customHeight="true" outlineLevel="0" collapsed="false">
      <c r="A47" s="9" t="s">
        <v>195</v>
      </c>
      <c r="B47" s="9" t="s">
        <v>102</v>
      </c>
      <c r="C47" s="9" t="n">
        <v>1</v>
      </c>
      <c r="D47" s="9" t="n">
        <v>1924</v>
      </c>
      <c r="E47" s="9"/>
      <c r="F47" s="9" t="s">
        <v>38</v>
      </c>
      <c r="G47" s="9"/>
      <c r="H47" s="9"/>
      <c r="I47" s="9"/>
      <c r="J47" s="9" t="s">
        <v>38</v>
      </c>
      <c r="K47" s="9"/>
      <c r="L47" s="9"/>
      <c r="M47" s="9"/>
      <c r="N47" s="9"/>
      <c r="O47" s="9" t="s">
        <v>48</v>
      </c>
      <c r="P47" s="9" t="s">
        <v>152</v>
      </c>
      <c r="Q47" s="9" t="n">
        <v>1</v>
      </c>
      <c r="R47" s="9" t="n">
        <v>1</v>
      </c>
    </row>
    <row r="48" customFormat="false" ht="15" hidden="false" customHeight="true" outlineLevel="0" collapsed="false">
      <c r="A48" s="9" t="s">
        <v>196</v>
      </c>
      <c r="B48" s="9" t="s">
        <v>103</v>
      </c>
      <c r="C48" s="9" t="n">
        <v>1</v>
      </c>
      <c r="D48" s="9" t="n">
        <v>6818</v>
      </c>
      <c r="E48" s="9"/>
      <c r="F48" s="9" t="s">
        <v>38</v>
      </c>
      <c r="G48" s="9"/>
      <c r="H48" s="9"/>
      <c r="I48" s="9"/>
      <c r="J48" s="9"/>
      <c r="K48" s="9"/>
      <c r="L48" s="9"/>
      <c r="M48" s="9"/>
      <c r="N48" s="9"/>
      <c r="O48" s="9" t="s">
        <v>48</v>
      </c>
      <c r="P48" s="9" t="s">
        <v>152</v>
      </c>
      <c r="Q48" s="9" t="n">
        <v>1</v>
      </c>
      <c r="R48" s="9" t="n">
        <v>1</v>
      </c>
    </row>
    <row r="49" customFormat="false" ht="15" hidden="false" customHeight="true" outlineLevel="0" collapsed="false">
      <c r="A49" s="9" t="s">
        <v>197</v>
      </c>
      <c r="B49" s="9" t="s">
        <v>103</v>
      </c>
      <c r="C49" s="9" t="n">
        <v>1</v>
      </c>
      <c r="D49" s="9" t="n">
        <v>1924</v>
      </c>
      <c r="E49" s="9"/>
      <c r="F49" s="9" t="s">
        <v>38</v>
      </c>
      <c r="G49" s="9"/>
      <c r="H49" s="9"/>
      <c r="I49" s="9"/>
      <c r="J49" s="9" t="s">
        <v>38</v>
      </c>
      <c r="K49" s="9"/>
      <c r="L49" s="9"/>
      <c r="M49" s="9"/>
      <c r="N49" s="9"/>
      <c r="O49" s="9" t="s">
        <v>48</v>
      </c>
      <c r="P49" s="9" t="s">
        <v>152</v>
      </c>
      <c r="Q49" s="9" t="n">
        <v>1</v>
      </c>
      <c r="R49" s="9" t="n">
        <v>1</v>
      </c>
    </row>
    <row r="50" customFormat="false" ht="15" hidden="false" customHeight="true" outlineLevel="0" collapsed="false">
      <c r="A50" s="9" t="s">
        <v>198</v>
      </c>
      <c r="B50" s="9" t="s">
        <v>104</v>
      </c>
      <c r="C50" s="9" t="n">
        <v>1</v>
      </c>
      <c r="D50" s="9" t="n">
        <v>1924</v>
      </c>
      <c r="E50" s="9"/>
      <c r="F50" s="9" t="s">
        <v>38</v>
      </c>
      <c r="G50" s="9"/>
      <c r="H50" s="9"/>
      <c r="I50" s="9"/>
      <c r="J50" s="9" t="s">
        <v>38</v>
      </c>
      <c r="K50" s="9"/>
      <c r="L50" s="9"/>
      <c r="M50" s="9"/>
      <c r="N50" s="9"/>
      <c r="O50" s="9" t="s">
        <v>48</v>
      </c>
      <c r="P50" s="9" t="s">
        <v>152</v>
      </c>
      <c r="Q50" s="9" t="n">
        <v>1</v>
      </c>
      <c r="R50" s="9" t="n">
        <v>1</v>
      </c>
    </row>
    <row r="51" customFormat="false" ht="15" hidden="false" customHeight="true" outlineLevel="0" collapsed="false">
      <c r="A51" s="9" t="s">
        <v>199</v>
      </c>
      <c r="B51" s="9" t="s">
        <v>104</v>
      </c>
      <c r="C51" s="9" t="n">
        <v>0</v>
      </c>
      <c r="D51" s="9" t="n">
        <v>0</v>
      </c>
      <c r="E51" s="9"/>
      <c r="F51" s="9"/>
      <c r="G51" s="9"/>
      <c r="H51" s="9"/>
      <c r="I51" s="9"/>
      <c r="J51" s="9"/>
      <c r="K51" s="9"/>
      <c r="L51" s="9"/>
      <c r="M51" s="9"/>
      <c r="N51" s="9"/>
      <c r="O51" s="9"/>
      <c r="P51" s="9" t="s">
        <v>149</v>
      </c>
      <c r="Q51" s="9" t="n">
        <v>0</v>
      </c>
      <c r="R51" s="9" t="n">
        <v>0</v>
      </c>
    </row>
    <row r="52" customFormat="false" ht="15" hidden="false" customHeight="true" outlineLevel="0" collapsed="false">
      <c r="A52" s="9" t="s">
        <v>200</v>
      </c>
      <c r="B52" s="9" t="s">
        <v>104</v>
      </c>
      <c r="C52" s="9" t="n">
        <v>0</v>
      </c>
      <c r="D52" s="9" t="n">
        <v>0</v>
      </c>
      <c r="E52" s="9"/>
      <c r="F52" s="9"/>
      <c r="G52" s="9"/>
      <c r="H52" s="9"/>
      <c r="I52" s="9"/>
      <c r="J52" s="9"/>
      <c r="K52" s="9"/>
      <c r="L52" s="9"/>
      <c r="M52" s="9"/>
      <c r="N52" s="9"/>
      <c r="O52" s="9"/>
      <c r="P52" s="9" t="s">
        <v>149</v>
      </c>
      <c r="Q52" s="9" t="n">
        <v>0</v>
      </c>
      <c r="R52"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2026-07-21T03:26:48Z</dcterms:created>
  <dc:creator>openpyxl</dc:creator>
  <dc:description/>
  <dc:language>en-US</dc:language>
  <cp:lastModifiedBy/>
  <dcterms:modified xsi:type="dcterms:W3CDTF">2026-07-30T11:08:57Z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