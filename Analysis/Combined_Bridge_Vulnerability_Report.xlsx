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xr:revisionPtr revIDLastSave="0" documentId="8_{784F3CC3-8819-48EB-9B76-0F81C52857C5}" xr6:coauthVersionLast="47" xr6:coauthVersionMax="47" xr10:uidLastSave="{00000000-0000-0000-0000-000000000000}"/>
  <bookViews>
    <workbookView xWindow="0" yWindow="0" windowWidth="16384" windowHeight="8192" tabRatio="500" activeTab="5" xr2:uid="{00000000-000D-0000-FFFF-FFFF00000000}"/>
  </bookViews>
  <sheets>
    <sheet name="Executive_Summary" sheetId="1" r:id="rId1"/>
    <sheet name="Formula_Definitions" sheetId="2" r:id="rId2"/>
    <sheet name="Protocol_Comparison" sheetId="3" r:id="rId3"/>
    <sheet name="Per_Vulnerability_Comparison" sheetId="4" r:id="rId4"/>
    <sheet name="Agreement_Comparison" sheetId="5" r:id="rId5"/>
    <sheet name="Key_Findings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8" i="6" l="1"/>
  <c r="A7" i="6"/>
  <c r="A5" i="6"/>
  <c r="E8" i="5"/>
  <c r="D8" i="5"/>
  <c r="C8" i="5"/>
  <c r="B8" i="5"/>
  <c r="F8" i="5" s="1"/>
  <c r="E7" i="5"/>
  <c r="D7" i="5"/>
  <c r="C7" i="5"/>
  <c r="B7" i="5"/>
  <c r="F7" i="5" s="1"/>
  <c r="E6" i="5"/>
  <c r="D6" i="5"/>
  <c r="C6" i="5"/>
  <c r="B6" i="5"/>
  <c r="F6" i="5" s="1"/>
  <c r="E5" i="5"/>
  <c r="D5" i="5"/>
  <c r="C5" i="5"/>
  <c r="B5" i="5"/>
  <c r="F5" i="5" s="1"/>
  <c r="E4" i="5"/>
  <c r="D4" i="5"/>
  <c r="C4" i="5"/>
  <c r="B4" i="5"/>
  <c r="F4" i="5" s="1"/>
  <c r="F15" i="4"/>
  <c r="E15" i="4"/>
  <c r="D15" i="4"/>
  <c r="C15" i="4"/>
  <c r="B15" i="4"/>
  <c r="F14" i="4"/>
  <c r="E14" i="4"/>
  <c r="D14" i="4"/>
  <c r="C14" i="4"/>
  <c r="B14" i="4"/>
  <c r="F13" i="4"/>
  <c r="E13" i="4"/>
  <c r="D13" i="4"/>
  <c r="C13" i="4"/>
  <c r="B13" i="4"/>
  <c r="F12" i="4"/>
  <c r="E12" i="4"/>
  <c r="D12" i="4"/>
  <c r="C12" i="4"/>
  <c r="B12" i="4"/>
  <c r="F11" i="4"/>
  <c r="E11" i="4"/>
  <c r="D11" i="4"/>
  <c r="C11" i="4"/>
  <c r="B11" i="4"/>
  <c r="F10" i="4"/>
  <c r="E10" i="4"/>
  <c r="D10" i="4"/>
  <c r="C10" i="4"/>
  <c r="B10" i="4"/>
  <c r="F9" i="4"/>
  <c r="E9" i="4"/>
  <c r="D9" i="4"/>
  <c r="C9" i="4"/>
  <c r="B9" i="4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I10" i="3"/>
  <c r="C10" i="3"/>
  <c r="I8" i="3"/>
  <c r="D8" i="3"/>
  <c r="B8" i="3"/>
  <c r="I7" i="3"/>
  <c r="D7" i="3"/>
  <c r="B7" i="3"/>
  <c r="I6" i="3"/>
  <c r="D6" i="3"/>
  <c r="B6" i="3"/>
  <c r="I5" i="3"/>
  <c r="D5" i="3"/>
  <c r="B5" i="3"/>
  <c r="I4" i="3"/>
  <c r="A6" i="6" s="1"/>
  <c r="D4" i="3"/>
  <c r="B4" i="3"/>
  <c r="A15" i="1"/>
  <c r="A14" i="1"/>
  <c r="A9" i="1"/>
  <c r="A6" i="1"/>
  <c r="A5" i="1"/>
  <c r="B10" i="3" l="1"/>
  <c r="J4" i="3"/>
  <c r="E4" i="3"/>
  <c r="D10" i="3"/>
  <c r="H4" i="3"/>
  <c r="G4" i="3"/>
  <c r="F4" i="3"/>
  <c r="J5" i="3"/>
  <c r="E5" i="3"/>
  <c r="H5" i="3"/>
  <c r="G5" i="3"/>
  <c r="F5" i="3"/>
  <c r="J6" i="3"/>
  <c r="E6" i="3"/>
  <c r="H6" i="3"/>
  <c r="G6" i="3"/>
  <c r="F6" i="3"/>
  <c r="J7" i="3"/>
  <c r="E7" i="3"/>
  <c r="H7" i="3"/>
  <c r="G7" i="3"/>
  <c r="F7" i="3"/>
  <c r="J8" i="3"/>
  <c r="E8" i="3"/>
  <c r="H8" i="3"/>
  <c r="G8" i="3"/>
  <c r="F8" i="3"/>
  <c r="A4" i="6" s="1"/>
  <c r="A13" i="1" l="1"/>
  <c r="A12" i="1"/>
  <c r="H10" i="3"/>
  <c r="G10" i="3"/>
  <c r="A8" i="1" s="1"/>
  <c r="F10" i="3"/>
  <c r="A7" i="1" s="1"/>
  <c r="E10" i="3"/>
  <c r="A3" i="6"/>
  <c r="A17" i="1"/>
  <c r="A16" i="1"/>
  <c r="J10" i="3"/>
</calcChain>
</file>

<file path=xl/sharedStrings.xml><?xml version="1.0" encoding="utf-8"?>
<sst xmlns="http://schemas.openxmlformats.org/spreadsheetml/2006/main" count="74" uniqueCount="61">
  <si>
    <t>Cross-Bridge Bytecode Vulnerability Detection — Executive Summary</t>
  </si>
  <si>
    <t>Combines CCIP, Axelar, Hyperlane, Wormhole and LayerZero unobfuscated bridge bytecode analysis.</t>
  </si>
  <si>
    <t>KEY METRICS (ALL 5 PROTOCOLS COMBINED)</t>
  </si>
  <si>
    <t>RANKINGS</t>
  </si>
  <si>
    <t>Metric</t>
  </si>
  <si>
    <t>Formula</t>
  </si>
  <si>
    <t>Interpretation</t>
  </si>
  <si>
    <t>Analyzed contracts</t>
  </si>
  <si>
    <t>COUNTIFS(Protocol=p, Has_Bytecode=1)</t>
  </si>
  <si>
    <t>Contracts where detection actually ran (bytecode text present, or a flag/Vulnerable=Yes recorded even if bytecode text is blank in export)</t>
  </si>
  <si>
    <t>Overall Vulnerable %</t>
  </si>
  <si>
    <t>COUNTIFS(Protocol=p, Has_Bytecode=1, Vulnerable="Yes") / Analyzed</t>
  </si>
  <si>
    <t>Share of analyzed contracts flagged by &gt;=1 tool, per protocol</t>
  </si>
  <si>
    <t>Category Prevalence %</t>
  </si>
  <si>
    <t>COUNTIFS(Protocol=p, Has_Bytecode=1, category&lt;&gt;"") / Analyzed</t>
  </si>
  <si>
    <t>Share of a protocol's analyzed contracts flagged for one vulnerability category</t>
  </si>
  <si>
    <t>Tool Flag Rate %</t>
  </si>
  <si>
    <t>COUNTIFS(Protocol=p, Has_Bytecode=1, Tool_Flag=1) / Analyzed</t>
  </si>
  <si>
    <t>Share of analyzed contracts flagged by a given tool (Mythril or MAIAN), regardless of category</t>
  </si>
  <si>
    <t>Jaccard Index J(MAIAN,Mythril)</t>
  </si>
  <si>
    <t>Both / (Both + OnlyMAIAN + OnlyMythril)</t>
  </si>
  <si>
    <t>Overlap between the two tools' flagged sets per protocol; 0=no overlap, 1=identical sets</t>
  </si>
  <si>
    <t>Analyzed %</t>
  </si>
  <si>
    <t>Analyzed / Addresses Queried</t>
  </si>
  <si>
    <t>Share of queried addresses that resolved to an actual on-chain contract with recorded detection results</t>
  </si>
  <si>
    <t>Cross-Protocol Comparison — Bridge Bytecode Vulnerability Detection</t>
  </si>
  <si>
    <t>Protocol</t>
  </si>
  <si>
    <t>Addresses Queried</t>
  </si>
  <si>
    <t>Chains</t>
  </si>
  <si>
    <t>Analyzed</t>
  </si>
  <si>
    <t>Not Analyzed</t>
  </si>
  <si>
    <t>MAIAN Flag %</t>
  </si>
  <si>
    <t>Mythril Flag %</t>
  </si>
  <si>
    <t>Jaccard(M,My)</t>
  </si>
  <si>
    <t>CCIP</t>
  </si>
  <si>
    <t>Axelar</t>
  </si>
  <si>
    <t>Hyperlane</t>
  </si>
  <si>
    <t>Wormhole</t>
  </si>
  <si>
    <t>LayerZero</t>
  </si>
  <si>
    <t>TOTAL / ALL</t>
  </si>
  <si>
    <t>Per-Vulnerability Prevalence % — All Protocols</t>
  </si>
  <si>
    <t>Prevalence % = category detections / analyzed contracts, per protocol</t>
  </si>
  <si>
    <t>Category</t>
  </si>
  <si>
    <t>Reentrancy</t>
  </si>
  <si>
    <t>Integer</t>
  </si>
  <si>
    <t>Access Control</t>
  </si>
  <si>
    <t>Delegatecall</t>
  </si>
  <si>
    <t>Unchecked Call</t>
  </si>
  <si>
    <t>Timestamp</t>
  </si>
  <si>
    <t>TOD</t>
  </si>
  <si>
    <t>DoS</t>
  </si>
  <si>
    <t>Selfdestruct</t>
  </si>
  <si>
    <t>Locked Ether</t>
  </si>
  <si>
    <t>Ether Leak</t>
  </si>
  <si>
    <t>Mythril vs MAIAN Agreement — All Protocols</t>
  </si>
  <si>
    <t>Both Flag</t>
  </si>
  <si>
    <t>Only MAIAN</t>
  </si>
  <si>
    <t>Only Mythril</t>
  </si>
  <si>
    <t>Neither</t>
  </si>
  <si>
    <t>Jaccard Index</t>
  </si>
  <si>
    <t>Cross-Protocol Key 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</si>
</sst>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10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1"/>
      <name val="Arial"/>
      <charset val="1"/>
    </font>
    <font>
      <b/>
      <sz val="12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3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E699"/>
        <bgColor rgb="FFFFCC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wrapText="1"/>
    </xf>
    <xf numFmtId="0" fontId="8" fillId="0" borderId="1" xfId="0" applyFont="1" applyBorder="1"/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8" fillId="4" borderId="1" xfId="0" applyFont="1" applyFill="1" applyBorder="1"/>
    <xf numFmtId="164" fontId="8" fillId="4" borderId="1" xfId="0" applyNumberFormat="1" applyFont="1" applyFill="1" applyBorder="1"/>
    <xf numFmtId="165" fontId="8" fillId="4" borderId="1" xfId="0" applyNumberFormat="1" applyFont="1" applyFill="1" applyBorder="1"/>
    <xf numFmtId="0" fontId="5" fillId="3" borderId="1" xfId="0" applyFont="1" applyFill="1" applyBorder="1" applyAlignment="1">
      <alignment horizontal="center"/>
    </xf>
    <xf numFmtId="165" fontId="8" fillId="0" borderId="1" xfId="0" applyNumberFormat="1" applyFont="1" applyBorder="1"/>
    <xf numFmtId="0" fontId="7" fillId="0" borderId="0" xfId="0" applyFont="1" applyBorder="1" applyAlignment="1"/>
    <xf numFmtId="0" fontId="9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zoomScaleNormal="100" workbookViewId="0"/>
  </sheetViews>
  <sheetFormatPr defaultColWidth="8.7109375" defaultRowHeight="15"/>
  <cols>
    <col min="1" max="1" width="115" customWidth="1"/>
  </cols>
  <sheetData>
    <row r="1" spans="1:1" ht="19.5" customHeight="1">
      <c r="A1" s="1" t="s">
        <v>0</v>
      </c>
    </row>
    <row r="2" spans="1:1" ht="15.75" customHeight="1">
      <c r="A2" s="2" t="s">
        <v>1</v>
      </c>
    </row>
    <row r="4" spans="1:1" ht="15.75" customHeight="1">
      <c r="A4" s="3" t="s">
        <v>2</v>
      </c>
    </row>
    <row r="5" spans="1:1">
      <c r="A5" s="4" t="e">
        <f>"Total addresses queried: "&amp;SUM(Protocol_Comparison!B4:B8)&amp;"  |  Total analyzed contracts: "&amp;SUM(Protocol_Comparison!D4:D8)</f>
        <v>#REF!</v>
      </c>
    </row>
    <row r="6" spans="1:1">
      <c r="A6" s="4" t="e">
        <f>"Combined analyzed rate: "&amp;TEXT(SUM(Protocol_Comparison!D4:D8)/SUM(Protocol_Comparison!B4:B8),"0.0%")</f>
        <v>#REF!</v>
      </c>
    </row>
    <row r="7" spans="1:1">
      <c r="A7" s="4" t="e">
        <f>"Combined overall vulnerable rate: "&amp;TEXT(Protocol_Comparison!F10,"0.0%")&amp;" (of all analyzed contracts across protocols)"</f>
        <v>#REF!</v>
      </c>
    </row>
    <row r="8" spans="1:1">
      <c r="A8" s="4" t="e">
        <f>"Combined MAIAN flag rate: "&amp;TEXT(Protocol_Comparison!G10,"0.0%")&amp;"   Combined Mythril flag rate: "&amp;TEXT(Protocol_Comparison!H10,"0.0%")</f>
        <v>#REF!</v>
      </c>
    </row>
    <row r="9" spans="1:1">
      <c r="A9" s="4" t="e">
        <f>"Combined Jaccard (MAIAN, Mythril): "&amp;TEXT(Protocol_Comparison!I10,"0.0000")</f>
        <v>#REF!</v>
      </c>
    </row>
    <row r="11" spans="1:1" ht="15.75" customHeight="1">
      <c r="A11" s="3" t="s">
        <v>3</v>
      </c>
    </row>
    <row r="12" spans="1:1">
      <c r="A12" s="4" t="e">
        <f>"Highest overall-vulnerable rate: "&amp;INDEX(Protocol_Comparison!A4:A8,MATCH(MAX(Protocol_Comparison!F4:F8),Protocol_Comparison!F4:F8,0))&amp;" ("&amp;TEXT(MAX(Protocol_Comparison!F4:F8),"0.0%")&amp;")"</f>
        <v>#REF!</v>
      </c>
    </row>
    <row r="13" spans="1:1">
      <c r="A13" s="4" t="e">
        <f>"Lowest overall-vulnerable rate: "&amp;INDEX(Protocol_Comparison!A4:A8,MATCH(MIN(Protocol_Comparison!F4:F8),Protocol_Comparison!F4:F8,0))&amp;" ("&amp;TEXT(MIN(Protocol_Comparison!F4:F8),"0.0%")&amp;")"</f>
        <v>#REF!</v>
      </c>
    </row>
    <row r="14" spans="1:1">
      <c r="A14" s="4" t="e">
        <f>"Highest tool agreement (Jaccard): "&amp;INDEX(Protocol_Comparison!A4:A8,MATCH(MAX(Protocol_Comparison!I4:I8),Protocol_Comparison!I4:I8,0))&amp;" ("&amp;TEXT(MAX(Protocol_Comparison!I4:I8),"0.0000")&amp;")"</f>
        <v>#REF!</v>
      </c>
    </row>
    <row r="15" spans="1:1">
      <c r="A15" s="4" t="e">
        <f>"Lowest tool agreement (Jaccard): "&amp;INDEX(Protocol_Comparison!A4:A8,MATCH(MIN(Protocol_Comparison!I4:I8),Protocol_Comparison!I4:I8,0))&amp;" ("&amp;TEXT(MIN(Protocol_Comparison!I4:I8),"0.0000")&amp;")"</f>
        <v>#REF!</v>
      </c>
    </row>
    <row r="16" spans="1:1">
      <c r="A16" s="4" t="e">
        <f>"Highest analyzed rate (queried -&gt; resolved): "&amp;INDEX(Protocol_Comparison!A4:A8,MATCH(MAX(Protocol_Comparison!J4:J8),Protocol_Comparison!J4:J8,0))&amp;" ("&amp;TEXT(MAX(Protocol_Comparison!J4:J8),"0.0%")&amp;")"</f>
        <v>#REF!</v>
      </c>
    </row>
    <row r="17" spans="1:1">
      <c r="A17" s="4" t="e">
        <f>"Lowest analyzed rate (queried -&gt; resolved): "&amp;INDEX(Protocol_Comparison!A4:A8,MATCH(MIN(Protocol_Comparison!J4:J8),Protocol_Comparison!J4:J8,0))&amp;" ("&amp;TEXT(MIN(Protocol_Comparison!J4:J8),"0.0%")&amp;")"</f>
        <v>#REF!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Normal="100" workbookViewId="0"/>
  </sheetViews>
  <sheetFormatPr defaultColWidth="8.7109375" defaultRowHeight="15"/>
  <cols>
    <col min="1" max="1" width="32" customWidth="1"/>
    <col min="2" max="3" width="48" customWidth="1"/>
  </cols>
  <sheetData>
    <row r="1" spans="1:3">
      <c r="A1" s="5" t="s">
        <v>4</v>
      </c>
      <c r="B1" s="5" t="s">
        <v>5</v>
      </c>
      <c r="C1" s="5" t="s">
        <v>6</v>
      </c>
    </row>
    <row r="2" spans="1:3" ht="35.1">
      <c r="A2" s="6" t="s">
        <v>7</v>
      </c>
      <c r="B2" s="6" t="s">
        <v>8</v>
      </c>
      <c r="C2" s="6" t="s">
        <v>9</v>
      </c>
    </row>
    <row r="3" spans="1:3" ht="23.85">
      <c r="A3" s="6" t="s">
        <v>10</v>
      </c>
      <c r="B3" s="6" t="s">
        <v>11</v>
      </c>
      <c r="C3" s="6" t="s">
        <v>12</v>
      </c>
    </row>
    <row r="4" spans="1:3" ht="23.85">
      <c r="A4" s="6" t="s">
        <v>13</v>
      </c>
      <c r="B4" s="6" t="s">
        <v>14</v>
      </c>
      <c r="C4" s="6" t="s">
        <v>15</v>
      </c>
    </row>
    <row r="5" spans="1:3" ht="23.85">
      <c r="A5" s="6" t="s">
        <v>16</v>
      </c>
      <c r="B5" s="6" t="s">
        <v>17</v>
      </c>
      <c r="C5" s="6" t="s">
        <v>18</v>
      </c>
    </row>
    <row r="6" spans="1:3" ht="23.85">
      <c r="A6" s="6" t="s">
        <v>19</v>
      </c>
      <c r="B6" s="6" t="s">
        <v>20</v>
      </c>
      <c r="C6" s="6" t="s">
        <v>21</v>
      </c>
    </row>
    <row r="7" spans="1:3" ht="23.85">
      <c r="A7" s="6" t="s">
        <v>22</v>
      </c>
      <c r="B7" s="6" t="s">
        <v>23</v>
      </c>
      <c r="C7" s="6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zoomScaleNormal="100" workbookViewId="0"/>
  </sheetViews>
  <sheetFormatPr defaultColWidth="8.7109375" defaultRowHeight="15"/>
  <cols>
    <col min="1" max="2" width="16" customWidth="1"/>
    <col min="3" max="3" width="14" customWidth="1"/>
    <col min="4" max="6" width="16" customWidth="1"/>
    <col min="7" max="9" width="15" customWidth="1"/>
    <col min="10" max="10" width="12" customWidth="1"/>
  </cols>
  <sheetData>
    <row r="1" spans="1:10" ht="16.149999999999999">
      <c r="A1" s="17" t="s">
        <v>25</v>
      </c>
      <c r="B1" s="17"/>
      <c r="C1" s="17"/>
      <c r="D1" s="17"/>
      <c r="E1" s="17"/>
      <c r="F1" s="17"/>
      <c r="G1" s="17"/>
      <c r="H1" s="17"/>
      <c r="I1" s="17"/>
      <c r="J1" s="17"/>
    </row>
    <row r="3" spans="1:10" ht="26.85">
      <c r="A3" s="7" t="s">
        <v>26</v>
      </c>
      <c r="B3" s="7" t="s">
        <v>27</v>
      </c>
      <c r="C3" s="7" t="s">
        <v>28</v>
      </c>
      <c r="D3" s="7" t="s">
        <v>29</v>
      </c>
      <c r="E3" s="7" t="s">
        <v>30</v>
      </c>
      <c r="F3" s="7" t="s">
        <v>10</v>
      </c>
      <c r="G3" s="7" t="s">
        <v>31</v>
      </c>
      <c r="H3" s="7" t="s">
        <v>32</v>
      </c>
      <c r="I3" s="7" t="s">
        <v>33</v>
      </c>
      <c r="J3" s="7" t="s">
        <v>22</v>
      </c>
    </row>
    <row r="4" spans="1:10">
      <c r="A4" s="8" t="s">
        <v>34</v>
      </c>
      <c r="B4" s="9" t="e">
        <f>COUNTIF(#REF!,A4)</f>
        <v>#REF!</v>
      </c>
      <c r="C4" s="9">
        <v>22</v>
      </c>
      <c r="D4" s="9" t="e">
        <f>COUNTIFS(#REF!,A4,#REF!,1)</f>
        <v>#REF!</v>
      </c>
      <c r="E4" s="9" t="e">
        <f>B4-D4</f>
        <v>#REF!</v>
      </c>
      <c r="F4" s="10" t="e">
        <f>IF(D4=0,0,COUNTIFS(#REF!,A4,#REF!,1,#REF!,"Yes")/D4)</f>
        <v>#REF!</v>
      </c>
      <c r="G4" s="10" t="e">
        <f>IF(D4=0,0,COUNTIFS(#REF!,A4,#REF!,1,#REF!,1)/D4)</f>
        <v>#REF!</v>
      </c>
      <c r="H4" s="10" t="e">
        <f>IF(D4=0,0,COUNTIFS(#REF!,A4,#REF!,1,#REF!,1)/D4)</f>
        <v>#REF!</v>
      </c>
      <c r="I4" s="11" t="e">
        <f>IF((COUNTIFS(#REF!,A4,#REF!,1,#REF!,1,#REF!,1))+(COUNTIFS(#REF!,A4,#REF!,1,#REF!,1,#REF!,0))+(COUNTIFS(#REF!,A4,#REF!,1,#REF!,0,#REF!,1))=0,0,(COUNTIFS(#REF!,A4,#REF!,1,#REF!,1,#REF!,1))/((COUNTIFS(#REF!,A4,#REF!,1,#REF!,1,#REF!,1))+(COUNTIFS(#REF!,A4,#REF!,1,#REF!,1,#REF!,0))+(COUNTIFS(#REF!,A4,#REF!,1,#REF!,0,#REF!,1))))</f>
        <v>#REF!</v>
      </c>
      <c r="J4" s="10" t="e">
        <f>IF(B4=0,0,D4/B4)</f>
        <v>#REF!</v>
      </c>
    </row>
    <row r="5" spans="1:10">
      <c r="A5" s="8" t="s">
        <v>35</v>
      </c>
      <c r="B5" s="9" t="e">
        <f>COUNTIF(#REF!,A5)</f>
        <v>#REF!</v>
      </c>
      <c r="C5" s="9">
        <v>26</v>
      </c>
      <c r="D5" s="9" t="e">
        <f>COUNTIFS(#REF!,A5,#REF!,1)</f>
        <v>#REF!</v>
      </c>
      <c r="E5" s="9" t="e">
        <f>B5-D5</f>
        <v>#REF!</v>
      </c>
      <c r="F5" s="10" t="e">
        <f>IF(D5=0,0,COUNTIFS(#REF!,A5,#REF!,1,#REF!,"Yes")/D5)</f>
        <v>#REF!</v>
      </c>
      <c r="G5" s="10" t="e">
        <f>IF(D5=0,0,COUNTIFS(#REF!,A5,#REF!,1,#REF!,1)/D5)</f>
        <v>#REF!</v>
      </c>
      <c r="H5" s="10" t="e">
        <f>IF(D5=0,0,COUNTIFS(#REF!,A5,#REF!,1,#REF!,1)/D5)</f>
        <v>#REF!</v>
      </c>
      <c r="I5" s="11" t="e">
        <f>IF((COUNTIFS(#REF!,A5,#REF!,1,#REF!,1,#REF!,1))+(COUNTIFS(#REF!,A5,#REF!,1,#REF!,1,#REF!,0))+(COUNTIFS(#REF!,A5,#REF!,1,#REF!,0,#REF!,1))=0,0,(COUNTIFS(#REF!,A5,#REF!,1,#REF!,1,#REF!,1))/((COUNTIFS(#REF!,A5,#REF!,1,#REF!,1,#REF!,1))+(COUNTIFS(#REF!,A5,#REF!,1,#REF!,1,#REF!,0))+(COUNTIFS(#REF!,A5,#REF!,1,#REF!,0,#REF!,1))))</f>
        <v>#REF!</v>
      </c>
      <c r="J5" s="10" t="e">
        <f>IF(B5=0,0,D5/B5)</f>
        <v>#REF!</v>
      </c>
    </row>
    <row r="6" spans="1:10">
      <c r="A6" s="8" t="s">
        <v>36</v>
      </c>
      <c r="B6" s="9" t="e">
        <f>COUNTIF(#REF!,A6)</f>
        <v>#REF!</v>
      </c>
      <c r="C6" s="9">
        <v>1</v>
      </c>
      <c r="D6" s="9" t="e">
        <f>COUNTIFS(#REF!,A6,#REF!,1)</f>
        <v>#REF!</v>
      </c>
      <c r="E6" s="9" t="e">
        <f>B6-D6</f>
        <v>#REF!</v>
      </c>
      <c r="F6" s="10" t="e">
        <f>IF(D6=0,0,COUNTIFS(#REF!,A6,#REF!,1,#REF!,"Yes")/D6)</f>
        <v>#REF!</v>
      </c>
      <c r="G6" s="10" t="e">
        <f>IF(D6=0,0,COUNTIFS(#REF!,A6,#REF!,1,#REF!,1)/D6)</f>
        <v>#REF!</v>
      </c>
      <c r="H6" s="10" t="e">
        <f>IF(D6=0,0,COUNTIFS(#REF!,A6,#REF!,1,#REF!,1)/D6)</f>
        <v>#REF!</v>
      </c>
      <c r="I6" s="11" t="e">
        <f>IF((COUNTIFS(#REF!,A6,#REF!,1,#REF!,1,#REF!,1))+(COUNTIFS(#REF!,A6,#REF!,1,#REF!,1,#REF!,0))+(COUNTIFS(#REF!,A6,#REF!,1,#REF!,0,#REF!,1))=0,0,(COUNTIFS(#REF!,A6,#REF!,1,#REF!,1,#REF!,1))/((COUNTIFS(#REF!,A6,#REF!,1,#REF!,1,#REF!,1))+(COUNTIFS(#REF!,A6,#REF!,1,#REF!,1,#REF!,0))+(COUNTIFS(#REF!,A6,#REF!,1,#REF!,0,#REF!,1))))</f>
        <v>#REF!</v>
      </c>
      <c r="J6" s="10" t="e">
        <f>IF(B6=0,0,D6/B6)</f>
        <v>#REF!</v>
      </c>
    </row>
    <row r="7" spans="1:10">
      <c r="A7" s="8" t="s">
        <v>37</v>
      </c>
      <c r="B7" s="9" t="e">
        <f>COUNTIF(#REF!,A7)</f>
        <v>#REF!</v>
      </c>
      <c r="C7" s="9">
        <v>12</v>
      </c>
      <c r="D7" s="9" t="e">
        <f>COUNTIFS(#REF!,A7,#REF!,1)</f>
        <v>#REF!</v>
      </c>
      <c r="E7" s="9" t="e">
        <f>B7-D7</f>
        <v>#REF!</v>
      </c>
      <c r="F7" s="10" t="e">
        <f>IF(D7=0,0,COUNTIFS(#REF!,A7,#REF!,1,#REF!,"Yes")/D7)</f>
        <v>#REF!</v>
      </c>
      <c r="G7" s="10" t="e">
        <f>IF(D7=0,0,COUNTIFS(#REF!,A7,#REF!,1,#REF!,1)/D7)</f>
        <v>#REF!</v>
      </c>
      <c r="H7" s="10" t="e">
        <f>IF(D7=0,0,COUNTIFS(#REF!,A7,#REF!,1,#REF!,1)/D7)</f>
        <v>#REF!</v>
      </c>
      <c r="I7" s="11" t="e">
        <f>IF((COUNTIFS(#REF!,A7,#REF!,1,#REF!,1,#REF!,1))+(COUNTIFS(#REF!,A7,#REF!,1,#REF!,1,#REF!,0))+(COUNTIFS(#REF!,A7,#REF!,1,#REF!,0,#REF!,1))=0,0,(COUNTIFS(#REF!,A7,#REF!,1,#REF!,1,#REF!,1))/((COUNTIFS(#REF!,A7,#REF!,1,#REF!,1,#REF!,1))+(COUNTIFS(#REF!,A7,#REF!,1,#REF!,1,#REF!,0))+(COUNTIFS(#REF!,A7,#REF!,1,#REF!,0,#REF!,1))))</f>
        <v>#REF!</v>
      </c>
      <c r="J7" s="10" t="e">
        <f>IF(B7=0,0,D7/B7)</f>
        <v>#REF!</v>
      </c>
    </row>
    <row r="8" spans="1:10">
      <c r="A8" s="8" t="s">
        <v>38</v>
      </c>
      <c r="B8" s="9" t="e">
        <f>COUNTIF(#REF!,A8)</f>
        <v>#REF!</v>
      </c>
      <c r="C8" s="9">
        <v>1</v>
      </c>
      <c r="D8" s="9" t="e">
        <f>COUNTIFS(#REF!,A8,#REF!,1)</f>
        <v>#REF!</v>
      </c>
      <c r="E8" s="9" t="e">
        <f>B8-D8</f>
        <v>#REF!</v>
      </c>
      <c r="F8" s="10" t="e">
        <f>IF(D8=0,0,COUNTIFS(#REF!,A8,#REF!,1,#REF!,"Yes")/D8)</f>
        <v>#REF!</v>
      </c>
      <c r="G8" s="10" t="e">
        <f>IF(D8=0,0,COUNTIFS(#REF!,A8,#REF!,1,#REF!,1)/D8)</f>
        <v>#REF!</v>
      </c>
      <c r="H8" s="10" t="e">
        <f>IF(D8=0,0,COUNTIFS(#REF!,A8,#REF!,1,#REF!,1)/D8)</f>
        <v>#REF!</v>
      </c>
      <c r="I8" s="11" t="e">
        <f>IF((COUNTIFS(#REF!,A8,#REF!,1,#REF!,1,#REF!,1))+(COUNTIFS(#REF!,A8,#REF!,1,#REF!,1,#REF!,0))+(COUNTIFS(#REF!,A8,#REF!,1,#REF!,0,#REF!,1))=0,0,(COUNTIFS(#REF!,A8,#REF!,1,#REF!,1,#REF!,1))/((COUNTIFS(#REF!,A8,#REF!,1,#REF!,1,#REF!,1))+(COUNTIFS(#REF!,A8,#REF!,1,#REF!,1,#REF!,0))+(COUNTIFS(#REF!,A8,#REF!,1,#REF!,0,#REF!,1))))</f>
        <v>#REF!</v>
      </c>
      <c r="J8" s="10" t="e">
        <f>IF(B8=0,0,D8/B8)</f>
        <v>#REF!</v>
      </c>
    </row>
    <row r="10" spans="1:10">
      <c r="A10" s="12" t="s">
        <v>39</v>
      </c>
      <c r="B10" s="12" t="e">
        <f>SUM(B4:B8)</f>
        <v>#REF!</v>
      </c>
      <c r="C10" s="12">
        <f>SUM(C4:C8)</f>
        <v>62</v>
      </c>
      <c r="D10" s="12" t="e">
        <f>SUM(D4:D8)</f>
        <v>#REF!</v>
      </c>
      <c r="E10" s="12" t="e">
        <f>SUM(E4:E8)</f>
        <v>#REF!</v>
      </c>
      <c r="F10" s="13" t="e">
        <f>IF(D10=0,0,COUNTIFS(#REF!,1,#REF!,"Yes")/D10)</f>
        <v>#REF!</v>
      </c>
      <c r="G10" s="13" t="e">
        <f>IF(D10=0,0,COUNTIFS(#REF!,1,#REF!,1)/D10)</f>
        <v>#REF!</v>
      </c>
      <c r="H10" s="13" t="e">
        <f>IF(D10=0,0,COUNTIFS(#REF!,1,#REF!,1)/D10)</f>
        <v>#REF!</v>
      </c>
      <c r="I10" s="14" t="e">
        <f>IF((COUNTIFS(#REF!,1,#REF!,1,#REF!,1))+(COUNTIFS(#REF!,1,#REF!,1,#REF!,0))+(COUNTIFS(#REF!,1,#REF!,0,#REF!,1))=0,0,(COUNTIFS(#REF!,1,#REF!,1,#REF!,1))/((COUNTIFS(#REF!,1,#REF!,1,#REF!,1))+(COUNTIFS(#REF!,1,#REF!,1,#REF!,0))+(COUNTIFS(#REF!,1,#REF!,0,#REF!,1))))</f>
        <v>#REF!</v>
      </c>
      <c r="J10" s="13" t="e">
        <f>IF(B10=0,0,D10/B10)</f>
        <v>#REF!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zoomScaleNormal="100" workbookViewId="0"/>
  </sheetViews>
  <sheetFormatPr defaultColWidth="8.7109375" defaultRowHeight="15"/>
  <cols>
    <col min="1" max="1" width="20" customWidth="1"/>
    <col min="2" max="6" width="14" customWidth="1"/>
  </cols>
  <sheetData>
    <row r="1" spans="1:6" ht="16.149999999999999">
      <c r="A1" s="17" t="s">
        <v>40</v>
      </c>
      <c r="B1" s="17"/>
      <c r="C1" s="17"/>
      <c r="D1" s="17"/>
      <c r="E1" s="17"/>
      <c r="F1" s="17"/>
    </row>
    <row r="2" spans="1:6">
      <c r="A2" s="18" t="s">
        <v>41</v>
      </c>
      <c r="B2" s="18"/>
      <c r="C2" s="18"/>
      <c r="D2" s="18"/>
      <c r="E2" s="18"/>
      <c r="F2" s="18"/>
    </row>
    <row r="4" spans="1:6">
      <c r="A4" s="15" t="s">
        <v>42</v>
      </c>
      <c r="B4" s="15" t="s">
        <v>34</v>
      </c>
      <c r="C4" s="15" t="s">
        <v>35</v>
      </c>
      <c r="D4" s="15" t="s">
        <v>36</v>
      </c>
      <c r="E4" s="15" t="s">
        <v>37</v>
      </c>
      <c r="F4" s="15" t="s">
        <v>38</v>
      </c>
    </row>
    <row r="5" spans="1:6">
      <c r="A5" s="9" t="s">
        <v>43</v>
      </c>
      <c r="B5" s="10" t="e">
        <f>IF((COUNTIFS(#REF!,"CCIP",#REF!,1))=0,0,(COUNTIFS(#REF!,"CCIP",#REF!,1,#REF!,"&lt;&gt;"))/(COUNTIFS(#REF!,"CCIP",#REF!,1)))</f>
        <v>#REF!</v>
      </c>
      <c r="C5" s="10" t="e">
        <f>IF((COUNTIFS(#REF!,"Axelar",#REF!,1))=0,0,(COUNTIFS(#REF!,"Axelar",#REF!,1,#REF!,"&lt;&gt;"))/(COUNTIFS(#REF!,"Axelar",#REF!,1)))</f>
        <v>#REF!</v>
      </c>
      <c r="D5" s="10" t="e">
        <f>IF((COUNTIFS(#REF!,"Hyperlane",#REF!,1))=0,0,(COUNTIFS(#REF!,"Hyperlane",#REF!,1,#REF!,"&lt;&gt;"))/(COUNTIFS(#REF!,"Hyperlane",#REF!,1)))</f>
        <v>#REF!</v>
      </c>
      <c r="E5" s="10" t="e">
        <f>IF((COUNTIFS(#REF!,"Wormhole",#REF!,1))=0,0,(COUNTIFS(#REF!,"Wormhole",#REF!,1,#REF!,"&lt;&gt;"))/(COUNTIFS(#REF!,"Wormhole",#REF!,1)))</f>
        <v>#REF!</v>
      </c>
      <c r="F5" s="10" t="e">
        <f>IF((COUNTIFS(#REF!,"LayerZero",#REF!,1))=0,0,(COUNTIFS(#REF!,"LayerZero",#REF!,1,#REF!,"&lt;&gt;"))/(COUNTIFS(#REF!,"LayerZero",#REF!,1)))</f>
        <v>#REF!</v>
      </c>
    </row>
    <row r="6" spans="1:6">
      <c r="A6" s="9" t="s">
        <v>44</v>
      </c>
      <c r="B6" s="10" t="e">
        <f>IF((COUNTIFS(#REF!,"CCIP",#REF!,1))=0,0,(COUNTIFS(#REF!,"CCIP",#REF!,1,#REF!,"&lt;&gt;"))/(COUNTIFS(#REF!,"CCIP",#REF!,1)))</f>
        <v>#REF!</v>
      </c>
      <c r="C6" s="10" t="e">
        <f>IF((COUNTIFS(#REF!,"Axelar",#REF!,1))=0,0,(COUNTIFS(#REF!,"Axelar",#REF!,1,#REF!,"&lt;&gt;"))/(COUNTIFS(#REF!,"Axelar",#REF!,1)))</f>
        <v>#REF!</v>
      </c>
      <c r="D6" s="10" t="e">
        <f>IF((COUNTIFS(#REF!,"Hyperlane",#REF!,1))=0,0,(COUNTIFS(#REF!,"Hyperlane",#REF!,1,#REF!,"&lt;&gt;"))/(COUNTIFS(#REF!,"Hyperlane",#REF!,1)))</f>
        <v>#REF!</v>
      </c>
      <c r="E6" s="10" t="e">
        <f>IF((COUNTIFS(#REF!,"Wormhole",#REF!,1))=0,0,(COUNTIFS(#REF!,"Wormhole",#REF!,1,#REF!,"&lt;&gt;"))/(COUNTIFS(#REF!,"Wormhole",#REF!,1)))</f>
        <v>#REF!</v>
      </c>
      <c r="F6" s="10" t="e">
        <f>IF((COUNTIFS(#REF!,"LayerZero",#REF!,1))=0,0,(COUNTIFS(#REF!,"LayerZero",#REF!,1,#REF!,"&lt;&gt;"))/(COUNTIFS(#REF!,"LayerZero",#REF!,1)))</f>
        <v>#REF!</v>
      </c>
    </row>
    <row r="7" spans="1:6">
      <c r="A7" s="9" t="s">
        <v>45</v>
      </c>
      <c r="B7" s="10" t="e">
        <f>IF((COUNTIFS(#REF!,"CCIP",#REF!,1))=0,0,(COUNTIFS(#REF!,"CCIP",#REF!,1,#REF!,"&lt;&gt;"))/(COUNTIFS(#REF!,"CCIP",#REF!,1)))</f>
        <v>#REF!</v>
      </c>
      <c r="C7" s="10" t="e">
        <f>IF((COUNTIFS(#REF!,"Axelar",#REF!,1))=0,0,(COUNTIFS(#REF!,"Axelar",#REF!,1,#REF!,"&lt;&gt;"))/(COUNTIFS(#REF!,"Axelar",#REF!,1)))</f>
        <v>#REF!</v>
      </c>
      <c r="D7" s="10" t="e">
        <f>IF((COUNTIFS(#REF!,"Hyperlane",#REF!,1))=0,0,(COUNTIFS(#REF!,"Hyperlane",#REF!,1,#REF!,"&lt;&gt;"))/(COUNTIFS(#REF!,"Hyperlane",#REF!,1)))</f>
        <v>#REF!</v>
      </c>
      <c r="E7" s="10" t="e">
        <f>IF((COUNTIFS(#REF!,"Wormhole",#REF!,1))=0,0,(COUNTIFS(#REF!,"Wormhole",#REF!,1,#REF!,"&lt;&gt;"))/(COUNTIFS(#REF!,"Wormhole",#REF!,1)))</f>
        <v>#REF!</v>
      </c>
      <c r="F7" s="10" t="e">
        <f>IF((COUNTIFS(#REF!,"LayerZero",#REF!,1))=0,0,(COUNTIFS(#REF!,"LayerZero",#REF!,1,#REF!,"&lt;&gt;"))/(COUNTIFS(#REF!,"LayerZero",#REF!,1)))</f>
        <v>#REF!</v>
      </c>
    </row>
    <row r="8" spans="1:6">
      <c r="A8" s="9" t="s">
        <v>46</v>
      </c>
      <c r="B8" s="10" t="e">
        <f>IF((COUNTIFS(#REF!,"CCIP",#REF!,1))=0,0,(COUNTIFS(#REF!,"CCIP",#REF!,1,#REF!,"&lt;&gt;"))/(COUNTIFS(#REF!,"CCIP",#REF!,1)))</f>
        <v>#REF!</v>
      </c>
      <c r="C8" s="10" t="e">
        <f>IF((COUNTIFS(#REF!,"Axelar",#REF!,1))=0,0,(COUNTIFS(#REF!,"Axelar",#REF!,1,#REF!,"&lt;&gt;"))/(COUNTIFS(#REF!,"Axelar",#REF!,1)))</f>
        <v>#REF!</v>
      </c>
      <c r="D8" s="10" t="e">
        <f>IF((COUNTIFS(#REF!,"Hyperlane",#REF!,1))=0,0,(COUNTIFS(#REF!,"Hyperlane",#REF!,1,#REF!,"&lt;&gt;"))/(COUNTIFS(#REF!,"Hyperlane",#REF!,1)))</f>
        <v>#REF!</v>
      </c>
      <c r="E8" s="10" t="e">
        <f>IF((COUNTIFS(#REF!,"Wormhole",#REF!,1))=0,0,(COUNTIFS(#REF!,"Wormhole",#REF!,1,#REF!,"&lt;&gt;"))/(COUNTIFS(#REF!,"Wormhole",#REF!,1)))</f>
        <v>#REF!</v>
      </c>
      <c r="F8" s="10" t="e">
        <f>IF((COUNTIFS(#REF!,"LayerZero",#REF!,1))=0,0,(COUNTIFS(#REF!,"LayerZero",#REF!,1,#REF!,"&lt;&gt;"))/(COUNTIFS(#REF!,"LayerZero",#REF!,1)))</f>
        <v>#REF!</v>
      </c>
    </row>
    <row r="9" spans="1:6">
      <c r="A9" s="9" t="s">
        <v>47</v>
      </c>
      <c r="B9" s="10" t="e">
        <f>IF((COUNTIFS(#REF!,"CCIP",#REF!,1))=0,0,(COUNTIFS(#REF!,"CCIP",#REF!,1,#REF!,"&lt;&gt;"))/(COUNTIFS(#REF!,"CCIP",#REF!,1)))</f>
        <v>#REF!</v>
      </c>
      <c r="C9" s="10" t="e">
        <f>IF((COUNTIFS(#REF!,"Axelar",#REF!,1))=0,0,(COUNTIFS(#REF!,"Axelar",#REF!,1,#REF!,"&lt;&gt;"))/(COUNTIFS(#REF!,"Axelar",#REF!,1)))</f>
        <v>#REF!</v>
      </c>
      <c r="D9" s="10" t="e">
        <f>IF((COUNTIFS(#REF!,"Hyperlane",#REF!,1))=0,0,(COUNTIFS(#REF!,"Hyperlane",#REF!,1,#REF!,"&lt;&gt;"))/(COUNTIFS(#REF!,"Hyperlane",#REF!,1)))</f>
        <v>#REF!</v>
      </c>
      <c r="E9" s="10" t="e">
        <f>IF((COUNTIFS(#REF!,"Wormhole",#REF!,1))=0,0,(COUNTIFS(#REF!,"Wormhole",#REF!,1,#REF!,"&lt;&gt;"))/(COUNTIFS(#REF!,"Wormhole",#REF!,1)))</f>
        <v>#REF!</v>
      </c>
      <c r="F9" s="10" t="e">
        <f>IF((COUNTIFS(#REF!,"LayerZero",#REF!,1))=0,0,(COUNTIFS(#REF!,"LayerZero",#REF!,1,#REF!,"&lt;&gt;"))/(COUNTIFS(#REF!,"LayerZero",#REF!,1)))</f>
        <v>#REF!</v>
      </c>
    </row>
    <row r="10" spans="1:6">
      <c r="A10" s="9" t="s">
        <v>48</v>
      </c>
      <c r="B10" s="10" t="e">
        <f>IF((COUNTIFS(#REF!,"CCIP",#REF!,1))=0,0,(COUNTIFS(#REF!,"CCIP",#REF!,1,#REF!,"&lt;&gt;"))/(COUNTIFS(#REF!,"CCIP",#REF!,1)))</f>
        <v>#REF!</v>
      </c>
      <c r="C10" s="10" t="e">
        <f>IF((COUNTIFS(#REF!,"Axelar",#REF!,1))=0,0,(COUNTIFS(#REF!,"Axelar",#REF!,1,#REF!,"&lt;&gt;"))/(COUNTIFS(#REF!,"Axelar",#REF!,1)))</f>
        <v>#REF!</v>
      </c>
      <c r="D10" s="10" t="e">
        <f>IF((COUNTIFS(#REF!,"Hyperlane",#REF!,1))=0,0,(COUNTIFS(#REF!,"Hyperlane",#REF!,1,#REF!,"&lt;&gt;"))/(COUNTIFS(#REF!,"Hyperlane",#REF!,1)))</f>
        <v>#REF!</v>
      </c>
      <c r="E10" s="10" t="e">
        <f>IF((COUNTIFS(#REF!,"Wormhole",#REF!,1))=0,0,(COUNTIFS(#REF!,"Wormhole",#REF!,1,#REF!,"&lt;&gt;"))/(COUNTIFS(#REF!,"Wormhole",#REF!,1)))</f>
        <v>#REF!</v>
      </c>
      <c r="F10" s="10" t="e">
        <f>IF((COUNTIFS(#REF!,"LayerZero",#REF!,1))=0,0,(COUNTIFS(#REF!,"LayerZero",#REF!,1,#REF!,"&lt;&gt;"))/(COUNTIFS(#REF!,"LayerZero",#REF!,1)))</f>
        <v>#REF!</v>
      </c>
    </row>
    <row r="11" spans="1:6">
      <c r="A11" s="9" t="s">
        <v>49</v>
      </c>
      <c r="B11" s="10" t="e">
        <f>IF((COUNTIFS(#REF!,"CCIP",#REF!,1))=0,0,(COUNTIFS(#REF!,"CCIP",#REF!,1,#REF!,"&lt;&gt;"))/(COUNTIFS(#REF!,"CCIP",#REF!,1)))</f>
        <v>#REF!</v>
      </c>
      <c r="C11" s="10" t="e">
        <f>IF((COUNTIFS(#REF!,"Axelar",#REF!,1))=0,0,(COUNTIFS(#REF!,"Axelar",#REF!,1,#REF!,"&lt;&gt;"))/(COUNTIFS(#REF!,"Axelar",#REF!,1)))</f>
        <v>#REF!</v>
      </c>
      <c r="D11" s="10" t="e">
        <f>IF((COUNTIFS(#REF!,"Hyperlane",#REF!,1))=0,0,(COUNTIFS(#REF!,"Hyperlane",#REF!,1,#REF!,"&lt;&gt;"))/(COUNTIFS(#REF!,"Hyperlane",#REF!,1)))</f>
        <v>#REF!</v>
      </c>
      <c r="E11" s="10" t="e">
        <f>IF((COUNTIFS(#REF!,"Wormhole",#REF!,1))=0,0,(COUNTIFS(#REF!,"Wormhole",#REF!,1,#REF!,"&lt;&gt;"))/(COUNTIFS(#REF!,"Wormhole",#REF!,1)))</f>
        <v>#REF!</v>
      </c>
      <c r="F11" s="10" t="e">
        <f>IF((COUNTIFS(#REF!,"LayerZero",#REF!,1))=0,0,(COUNTIFS(#REF!,"LayerZero",#REF!,1,#REF!,"&lt;&gt;"))/(COUNTIFS(#REF!,"LayerZero",#REF!,1)))</f>
        <v>#REF!</v>
      </c>
    </row>
    <row r="12" spans="1:6">
      <c r="A12" s="9" t="s">
        <v>50</v>
      </c>
      <c r="B12" s="10" t="e">
        <f>IF((COUNTIFS(#REF!,"CCIP",#REF!,1))=0,0,(COUNTIFS(#REF!,"CCIP",#REF!,1,#REF!,"&lt;&gt;"))/(COUNTIFS(#REF!,"CCIP",#REF!,1)))</f>
        <v>#REF!</v>
      </c>
      <c r="C12" s="10" t="e">
        <f>IF((COUNTIFS(#REF!,"Axelar",#REF!,1))=0,0,(COUNTIFS(#REF!,"Axelar",#REF!,1,#REF!,"&lt;&gt;"))/(COUNTIFS(#REF!,"Axelar",#REF!,1)))</f>
        <v>#REF!</v>
      </c>
      <c r="D12" s="10" t="e">
        <f>IF((COUNTIFS(#REF!,"Hyperlane",#REF!,1))=0,0,(COUNTIFS(#REF!,"Hyperlane",#REF!,1,#REF!,"&lt;&gt;"))/(COUNTIFS(#REF!,"Hyperlane",#REF!,1)))</f>
        <v>#REF!</v>
      </c>
      <c r="E12" s="10" t="e">
        <f>IF((COUNTIFS(#REF!,"Wormhole",#REF!,1))=0,0,(COUNTIFS(#REF!,"Wormhole",#REF!,1,#REF!,"&lt;&gt;"))/(COUNTIFS(#REF!,"Wormhole",#REF!,1)))</f>
        <v>#REF!</v>
      </c>
      <c r="F12" s="10" t="e">
        <f>IF((COUNTIFS(#REF!,"LayerZero",#REF!,1))=0,0,(COUNTIFS(#REF!,"LayerZero",#REF!,1,#REF!,"&lt;&gt;"))/(COUNTIFS(#REF!,"LayerZero",#REF!,1)))</f>
        <v>#REF!</v>
      </c>
    </row>
    <row r="13" spans="1:6">
      <c r="A13" s="9" t="s">
        <v>51</v>
      </c>
      <c r="B13" s="10" t="e">
        <f>IF((COUNTIFS(#REF!,"CCIP",#REF!,1))=0,0,(COUNTIFS(#REF!,"CCIP",#REF!,1,#REF!,"&lt;&gt;"))/(COUNTIFS(#REF!,"CCIP",#REF!,1)))</f>
        <v>#REF!</v>
      </c>
      <c r="C13" s="10" t="e">
        <f>IF((COUNTIFS(#REF!,"Axelar",#REF!,1))=0,0,(COUNTIFS(#REF!,"Axelar",#REF!,1,#REF!,"&lt;&gt;"))/(COUNTIFS(#REF!,"Axelar",#REF!,1)))</f>
        <v>#REF!</v>
      </c>
      <c r="D13" s="10" t="e">
        <f>IF((COUNTIFS(#REF!,"Hyperlane",#REF!,1))=0,0,(COUNTIFS(#REF!,"Hyperlane",#REF!,1,#REF!,"&lt;&gt;"))/(COUNTIFS(#REF!,"Hyperlane",#REF!,1)))</f>
        <v>#REF!</v>
      </c>
      <c r="E13" s="10" t="e">
        <f>IF((COUNTIFS(#REF!,"Wormhole",#REF!,1))=0,0,(COUNTIFS(#REF!,"Wormhole",#REF!,1,#REF!,"&lt;&gt;"))/(COUNTIFS(#REF!,"Wormhole",#REF!,1)))</f>
        <v>#REF!</v>
      </c>
      <c r="F13" s="10" t="e">
        <f>IF((COUNTIFS(#REF!,"LayerZero",#REF!,1))=0,0,(COUNTIFS(#REF!,"LayerZero",#REF!,1,#REF!,"&lt;&gt;"))/(COUNTIFS(#REF!,"LayerZero",#REF!,1)))</f>
        <v>#REF!</v>
      </c>
    </row>
    <row r="14" spans="1:6">
      <c r="A14" s="9" t="s">
        <v>52</v>
      </c>
      <c r="B14" s="10" t="e">
        <f>IF((COUNTIFS(#REF!,"CCIP",#REF!,1))=0,0,(COUNTIFS(#REF!,"CCIP",#REF!,1,#REF!,"&lt;&gt;"))/(COUNTIFS(#REF!,"CCIP",#REF!,1)))</f>
        <v>#REF!</v>
      </c>
      <c r="C14" s="10" t="e">
        <f>IF((COUNTIFS(#REF!,"Axelar",#REF!,1))=0,0,(COUNTIFS(#REF!,"Axelar",#REF!,1,#REF!,"&lt;&gt;"))/(COUNTIFS(#REF!,"Axelar",#REF!,1)))</f>
        <v>#REF!</v>
      </c>
      <c r="D14" s="10" t="e">
        <f>IF((COUNTIFS(#REF!,"Hyperlane",#REF!,1))=0,0,(COUNTIFS(#REF!,"Hyperlane",#REF!,1,#REF!,"&lt;&gt;"))/(COUNTIFS(#REF!,"Hyperlane",#REF!,1)))</f>
        <v>#REF!</v>
      </c>
      <c r="E14" s="10" t="e">
        <f>IF((COUNTIFS(#REF!,"Wormhole",#REF!,1))=0,0,(COUNTIFS(#REF!,"Wormhole",#REF!,1,#REF!,"&lt;&gt;"))/(COUNTIFS(#REF!,"Wormhole",#REF!,1)))</f>
        <v>#REF!</v>
      </c>
      <c r="F14" s="10" t="e">
        <f>IF((COUNTIFS(#REF!,"LayerZero",#REF!,1))=0,0,(COUNTIFS(#REF!,"LayerZero",#REF!,1,#REF!,"&lt;&gt;"))/(COUNTIFS(#REF!,"LayerZero",#REF!,1)))</f>
        <v>#REF!</v>
      </c>
    </row>
    <row r="15" spans="1:6">
      <c r="A15" s="9" t="s">
        <v>53</v>
      </c>
      <c r="B15" s="10" t="e">
        <f>IF((COUNTIFS(#REF!,"CCIP",#REF!,1))=0,0,(COUNTIFS(#REF!,"CCIP",#REF!,1,#REF!,"&lt;&gt;"))/(COUNTIFS(#REF!,"CCIP",#REF!,1)))</f>
        <v>#REF!</v>
      </c>
      <c r="C15" s="10" t="e">
        <f>IF((COUNTIFS(#REF!,"Axelar",#REF!,1))=0,0,(COUNTIFS(#REF!,"Axelar",#REF!,1,#REF!,"&lt;&gt;"))/(COUNTIFS(#REF!,"Axelar",#REF!,1)))</f>
        <v>#REF!</v>
      </c>
      <c r="D15" s="10" t="e">
        <f>IF((COUNTIFS(#REF!,"Hyperlane",#REF!,1))=0,0,(COUNTIFS(#REF!,"Hyperlane",#REF!,1,#REF!,"&lt;&gt;"))/(COUNTIFS(#REF!,"Hyperlane",#REF!,1)))</f>
        <v>#REF!</v>
      </c>
      <c r="E15" s="10" t="e">
        <f>IF((COUNTIFS(#REF!,"Wormhole",#REF!,1))=0,0,(COUNTIFS(#REF!,"Wormhole",#REF!,1,#REF!,"&lt;&gt;"))/(COUNTIFS(#REF!,"Wormhole",#REF!,1)))</f>
        <v>#REF!</v>
      </c>
      <c r="F15" s="10" t="e">
        <f>IF((COUNTIFS(#REF!,"LayerZero",#REF!,1))=0,0,(COUNTIFS(#REF!,"LayerZero",#REF!,1,#REF!,"&lt;&gt;"))/(COUNTIFS(#REF!,"LayerZero",#REF!,1)))</f>
        <v>#REF!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zoomScaleNormal="100" workbookViewId="0"/>
  </sheetViews>
  <sheetFormatPr defaultColWidth="8.7109375" defaultRowHeight="15"/>
  <cols>
    <col min="1" max="5" width="16" customWidth="1"/>
    <col min="6" max="6" width="14" customWidth="1"/>
  </cols>
  <sheetData>
    <row r="1" spans="1:6" ht="16.149999999999999">
      <c r="A1" s="17" t="s">
        <v>54</v>
      </c>
      <c r="B1" s="17"/>
      <c r="C1" s="17"/>
      <c r="D1" s="17"/>
      <c r="E1" s="17"/>
      <c r="F1" s="17"/>
    </row>
    <row r="3" spans="1:6">
      <c r="A3" s="15" t="s">
        <v>26</v>
      </c>
      <c r="B3" s="15" t="s">
        <v>55</v>
      </c>
      <c r="C3" s="15" t="s">
        <v>56</v>
      </c>
      <c r="D3" s="15" t="s">
        <v>57</v>
      </c>
      <c r="E3" s="15" t="s">
        <v>58</v>
      </c>
      <c r="F3" s="15" t="s">
        <v>59</v>
      </c>
    </row>
    <row r="4" spans="1:6">
      <c r="A4" s="8" t="s">
        <v>34</v>
      </c>
      <c r="B4" s="9" t="e">
        <f>COUNTIFS(#REF!,A4,#REF!,1,#REF!,1,#REF!,1)</f>
        <v>#REF!</v>
      </c>
      <c r="C4" s="9" t="e">
        <f>COUNTIFS(#REF!,A4,#REF!,1,#REF!,1,#REF!,0)</f>
        <v>#REF!</v>
      </c>
      <c r="D4" s="9" t="e">
        <f>COUNTIFS(#REF!,A4,#REF!,1,#REF!,0,#REF!,1)</f>
        <v>#REF!</v>
      </c>
      <c r="E4" s="9" t="e">
        <f>COUNTIFS(#REF!,A4,#REF!,1,#REF!,0,#REF!,0)</f>
        <v>#REF!</v>
      </c>
      <c r="F4" s="16" t="e">
        <f>IF(B4+C4+D4=0,0,B4/(B4+C4+D4))</f>
        <v>#REF!</v>
      </c>
    </row>
    <row r="5" spans="1:6">
      <c r="A5" s="8" t="s">
        <v>35</v>
      </c>
      <c r="B5" s="9" t="e">
        <f>COUNTIFS(#REF!,A5,#REF!,1,#REF!,1,#REF!,1)</f>
        <v>#REF!</v>
      </c>
      <c r="C5" s="9" t="e">
        <f>COUNTIFS(#REF!,A5,#REF!,1,#REF!,1,#REF!,0)</f>
        <v>#REF!</v>
      </c>
      <c r="D5" s="9" t="e">
        <f>COUNTIFS(#REF!,A5,#REF!,1,#REF!,0,#REF!,1)</f>
        <v>#REF!</v>
      </c>
      <c r="E5" s="9" t="e">
        <f>COUNTIFS(#REF!,A5,#REF!,1,#REF!,0,#REF!,0)</f>
        <v>#REF!</v>
      </c>
      <c r="F5" s="16" t="e">
        <f>IF(B5+C5+D5=0,0,B5/(B5+C5+D5))</f>
        <v>#REF!</v>
      </c>
    </row>
    <row r="6" spans="1:6">
      <c r="A6" s="8" t="s">
        <v>36</v>
      </c>
      <c r="B6" s="9" t="e">
        <f>COUNTIFS(#REF!,A6,#REF!,1,#REF!,1,#REF!,1)</f>
        <v>#REF!</v>
      </c>
      <c r="C6" s="9" t="e">
        <f>COUNTIFS(#REF!,A6,#REF!,1,#REF!,1,#REF!,0)</f>
        <v>#REF!</v>
      </c>
      <c r="D6" s="9" t="e">
        <f>COUNTIFS(#REF!,A6,#REF!,1,#REF!,0,#REF!,1)</f>
        <v>#REF!</v>
      </c>
      <c r="E6" s="9" t="e">
        <f>COUNTIFS(#REF!,A6,#REF!,1,#REF!,0,#REF!,0)</f>
        <v>#REF!</v>
      </c>
      <c r="F6" s="16" t="e">
        <f>IF(B6+C6+D6=0,0,B6/(B6+C6+D6))</f>
        <v>#REF!</v>
      </c>
    </row>
    <row r="7" spans="1:6">
      <c r="A7" s="8" t="s">
        <v>37</v>
      </c>
      <c r="B7" s="9" t="e">
        <f>COUNTIFS(#REF!,A7,#REF!,1,#REF!,1,#REF!,1)</f>
        <v>#REF!</v>
      </c>
      <c r="C7" s="9" t="e">
        <f>COUNTIFS(#REF!,A7,#REF!,1,#REF!,1,#REF!,0)</f>
        <v>#REF!</v>
      </c>
      <c r="D7" s="9" t="e">
        <f>COUNTIFS(#REF!,A7,#REF!,1,#REF!,0,#REF!,1)</f>
        <v>#REF!</v>
      </c>
      <c r="E7" s="9" t="e">
        <f>COUNTIFS(#REF!,A7,#REF!,1,#REF!,0,#REF!,0)</f>
        <v>#REF!</v>
      </c>
      <c r="F7" s="16" t="e">
        <f>IF(B7+C7+D7=0,0,B7/(B7+C7+D7))</f>
        <v>#REF!</v>
      </c>
    </row>
    <row r="8" spans="1:6">
      <c r="A8" s="8" t="s">
        <v>38</v>
      </c>
      <c r="B8" s="9" t="e">
        <f>COUNTIFS(#REF!,A8,#REF!,1,#REF!,1,#REF!,1)</f>
        <v>#REF!</v>
      </c>
      <c r="C8" s="9" t="e">
        <f>COUNTIFS(#REF!,A8,#REF!,1,#REF!,1,#REF!,0)</f>
        <v>#REF!</v>
      </c>
      <c r="D8" s="9" t="e">
        <f>COUNTIFS(#REF!,A8,#REF!,1,#REF!,0,#REF!,1)</f>
        <v>#REF!</v>
      </c>
      <c r="E8" s="9" t="e">
        <f>COUNTIFS(#REF!,A8,#REF!,1,#REF!,0,#REF!,0)</f>
        <v>#REF!</v>
      </c>
      <c r="F8" s="16" t="e">
        <f>IF(B8+C8+D8=0,0,B8/(B8+C8+D8))</f>
        <v>#REF!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8"/>
  <sheetViews>
    <sheetView tabSelected="1" zoomScaleNormal="100" workbookViewId="0"/>
  </sheetViews>
  <sheetFormatPr defaultColWidth="8.7109375" defaultRowHeight="15"/>
  <cols>
    <col min="1" max="1" width="118" customWidth="1"/>
  </cols>
  <sheetData>
    <row r="1" spans="1:1" ht="17.45">
      <c r="A1" s="1" t="s">
        <v>60</v>
      </c>
    </row>
    <row r="3" spans="1:1" ht="31.5" customHeight="1">
      <c r="A3" s="4" t="e">
        <f>"1. Analysis coverage varies widely: analyzed rate ranges from "&amp;TEXT(MIN(Protocol_Comparison!J4:J8),"0.0%")&amp;" to "&amp;TEXT(MAX(Protocol_Comparison!J4:J8),"0.0%")&amp;" of queried addresses across the 5 protocols - most queried bridge addresses are not deployed contracts with recorded detections."</f>
        <v>#REF!</v>
      </c>
    </row>
    <row r="4" spans="1:1" ht="31.5" customHeight="1">
      <c r="A4" s="4" t="e">
        <f>"2. LayerZero is the only protocol where analyzed contracts are not universally flagged: its overall-vulnerable rate is "&amp;TEXT(Protocol_Comparison!F8,"0.0%")&amp;", versus 100% for CCIP, Axelar, Hyperlane and Wormhole."</f>
        <v>#REF!</v>
      </c>
    </row>
    <row r="5" spans="1:1" ht="31.5" customHeight="1">
      <c r="A5" s="4" t="str">
        <f>"3. MAIAN (Locked Ether / Ether Leak) is consistently the higher-firing tool: its flag rate meets or exceeds Mythril's flag rate in every one of the 5 protocols."</f>
        <v>3. MAIAN (Locked Ether / Ether Leak) is consistently the higher-firing tool: its flag rate meets or exceeds Mythril's flag rate in every one of the 5 protocols.</v>
      </c>
    </row>
    <row r="6" spans="1:1" ht="31.5" customHeight="1">
      <c r="A6" s="4" t="e">
        <f>"4. Tool agreement (Jaccard) swings from "&amp;TEXT(MIN(Protocol_Comparison!I4:I8),"0.0000")&amp;" ("&amp;INDEX(Protocol_Comparison!A4:A8,MATCH(MIN(Protocol_Comparison!I4:I8),Protocol_Comparison!I4:I8,0))&amp;") to "&amp;TEXT(MAX(Protocol_Comparison!I4:I8),"0.0000")&amp;" ("&amp;INDEX(Protocol_Comparison!A4:A8,MATCH(MAX(Protocol_Comparison!I4:I8),Protocol_Comparison!I4:I8,0))&amp;") - Mythril and MAIAN catch largely different contracts on some bridges and nearly the same ones on others."</f>
        <v>#REF!</v>
      </c>
    </row>
    <row r="7" spans="1:1" ht="31.5" customHeight="1">
      <c r="A7" s="4" t="str">
        <f>_xlfn._LONGTEXT("5. Only Mythril and MAIAN produced any detections across all 5 datasets; Reentrancy, Access Control, Delegatecall, Unchecked Call, TOD, DoS and Selfdestruct show zero hits everywhere in this bytecode run - Slither/Oyente/Osiris coverage remains an open it","em for the full pipeline.")</f>
        <v>5. Only Mythril and MAIAN produced any detections across all 5 datasets; Reentrancy, Access Control, Delegatecall, Unchecked Call, TOD, DoS and Selfdestruct show zero hits everywhere in this bytecode run - Slither/Oyente/Osiris coverage remains an open item for the full pipeline.</v>
      </c>
    </row>
    <row r="8" spans="1:1" ht="31.5" customHeight="1">
      <c r="A8" s="4" t="str">
        <f>"6. Wormhole shows Mythril covering an extra category (Timestamp) not seen elsewhere; every other protocol's Mythril detections are Integer-only."</f>
        <v>6. Wormhole shows Mythril covering an extra category (Timestamp) not seen elsewhere; every other protocol's Mythril detections are Integer-only.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2026-07-21T03:31:37Z</dcterms:created>
  <dcterms:modified xsi:type="dcterms:W3CDTF">2026-07-21T15:54:12Z</dcterms:modified>
  <cp:category/>
  <cp:contentStatus/>
</cp:coreProperties>
</file>