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<sst xmlns="http://schemas.openxmlformats.org/spreadsheetml/2006/main" count="1201" uniqueCount="410">
  <si>
    <t xml:space="preserve">Axelar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</si>
  <si>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</si>
  <si>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</si>
  <si>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</si>
  <si>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</si>
  <si>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</si>
  <si>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</si>
  <si>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</si>
  <si>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</si>
  <si>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</si>
  <si>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</si>
  <si>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</si>
  <si>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</si>
  <si>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</si>
  <si>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</si>
  <si>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</si>
  <si>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</si>
  <si>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</si>
  <si>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</si>
  <si>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</si>
  <si>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</si>
  <si>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</si>
  <si>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</si>
  <si>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</si>
  <si>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</si>
  <si>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</si>
  <si>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</si>
  <si>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</si>
  <si>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</si>
  <si>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</si>
  <si>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Axelar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</si>
  <si>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</si>
  <si>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</si>
  <si>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</si>
  <si>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</si>
  <si>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</si>
  <si>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</si>
  <si>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</si>
  <si>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Mythril</t>
  </si>
  <si>
    <t xml:space="preserve">Bytecode-level detection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</si>
  <si>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</si>
  <si>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</si>
  <si>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</si>
  <si>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</si>
  <si>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</si>
  <si>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</si>
  <si>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</si>
  <si>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</si>
  <si>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</si>
  <si>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</si>
  <si>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</si>
  <si>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</si>
  <si>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</si>
  <si>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Axelar — Detection Count Analysis</t>
  </si>
  <si>
    <t xml:space="preserve">Flags per contract = count of (Integer,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</si>
  <si>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</si>
  <si>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</si>
  <si>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</si>
  <si>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</si>
  <si>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</si>
  <si>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</si>
  <si>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</si>
  <si>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</si>
  <si>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</si>
  <si>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Axelar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</si>
  <si>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</si>
  <si>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</si>
  <si>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</si>
  <si>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</si>
  <si>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</si>
  <si>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</si>
  <si>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</si>
  <si>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Others (n/a)</t>
  </si>
  <si>
    <t xml:space="preserve">Reentrancy, Access Control, Delegatecall, Unchecked Call, Timestamp, TOD, DoS, Selfdestruct</t>
  </si>
  <si>
    <t xml:space="preserve">Zero detections in this run</t>
  </si>
  <si>
    <t xml:space="preserve">Axelar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</si>
  <si>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</si>
  <si>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</si>
  <si>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</si>
  <si>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</si>
  <si>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</si>
  <si>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</si>
  <si>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</si>
  <si>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</si>
  <si>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</si>
  <si>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</si>
  <si>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</si>
  <si>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</si>
  <si>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</si>
  <si>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</si>
  <si>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</si>
  <si>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arbitrum</t>
  </si>
  <si>
    <t xml:space="preserve">arbitrum-sepolia</t>
  </si>
  <si>
    <t xml:space="preserve">avalanche</t>
  </si>
  <si>
    <t xml:space="preserve">base</t>
  </si>
  <si>
    <t xml:space="preserve">base-sepolia</t>
  </si>
  <si>
    <t xml:space="preserve">berachain</t>
  </si>
  <si>
    <t xml:space="preserve">binance</t>
  </si>
  <si>
    <t xml:space="preserve">blast</t>
  </si>
  <si>
    <t xml:space="preserve">blast-sepolia</t>
  </si>
  <si>
    <t xml:space="preserve">celo</t>
  </si>
  <si>
    <t xml:space="preserve">celo-sepolia</t>
  </si>
  <si>
    <t xml:space="preserve">centrifuge</t>
  </si>
  <si>
    <t xml:space="preserve">ethereum</t>
  </si>
  <si>
    <t xml:space="preserve">ethereum-sepolia</t>
  </si>
  <si>
    <t xml:space="preserve">fraxtal</t>
  </si>
  <si>
    <t xml:space="preserve">immutable</t>
  </si>
  <si>
    <t xml:space="preserve">linea</t>
  </si>
  <si>
    <t xml:space="preserve">linea-sepolia</t>
  </si>
  <si>
    <t xml:space="preserve">mantle</t>
  </si>
  <si>
    <t xml:space="preserve">moonbeam</t>
  </si>
  <si>
    <t xml:space="preserve">optimism</t>
  </si>
  <si>
    <t xml:space="preserve">optimism-sepolia</t>
  </si>
  <si>
    <t xml:space="preserve">polygon</t>
  </si>
  <si>
    <t xml:space="preserve">polygon-sepolia</t>
  </si>
  <si>
    <t xml:space="preserve">test-avalanche</t>
  </si>
  <si>
    <t xml:space="preserve">test-sepolia</t>
  </si>
  <si>
    <t xml:space="preserve">Axelar — Tool Agreement (Jaccard Index)</t>
  </si>
  <si>
    <t xml:space="preserve">Agreement between MAIAN and Mythril, among contracts with bytecode.</t>
  </si>
  <si>
    <t xml:space="preserve">Set</t>
  </si>
  <si>
    <t xml:space="preserve">Count</t>
  </si>
  <si>
    <t xml:space="preserve">Definition</t>
  </si>
  <si>
    <t xml:space="preserve">Both tools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</si>
  <si>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</si>
  <si>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</si>
  <si>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</si>
  <si>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</si>
  <si>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</si>
  <si>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</si>
  <si>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</si>
  <si>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</si>
  <si>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J(A,B) = |A∩B| / |A∪B|</t>
  </si>
  <si>
    <t xml:space="preserve">Axelar — Key Findings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</si>
  <si>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</si>
  <si>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</si>
  <si>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</si>
  <si>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</si>
  <si>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</si>
  <si>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</si>
  <si>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</si>
  <si>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</si>
  <si>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</si>
  <si>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</si>
  <si>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arbitrum-sepolia_0x6513Aedb4D1593BA12e50644401D976aebDc90d8</t>
  </si>
  <si>
    <t xml:space="preserve">Yes</t>
  </si>
  <si>
    <t xml:space="preserve">arbitrum-sepolia_0x7Acbae6CBa67d78AAf69e47000884aE00F9B2525</t>
  </si>
  <si>
    <t xml:space="preserve">arbitrum-sepolia_0x7F83F5cA2AE4206AbFf8a3C3668e88ce5F11C0B5</t>
  </si>
  <si>
    <t xml:space="preserve">arbitrum-sepolia_0x83a93500d23Fbc3e82B410aD07A6a9F7A0670D66</t>
  </si>
  <si>
    <t xml:space="preserve">arbitrum-sepolia_0x98B2920D53612483F91F12Ed7754E51b4A77919e</t>
  </si>
  <si>
    <t xml:space="preserve">arbitrum-sepolia_0xB5FB4BE02232B1bBA4dC8f81dc24C26980dE9e3C</t>
  </si>
  <si>
    <t xml:space="preserve">arbitrum-sepolia_0xCC940AE49C78F20E3F13F3cF37e996b98Ac3EC68</t>
  </si>
  <si>
    <t xml:space="preserve">arbitrum-sepolia_0xbE406F0189A0B4cf3A05C286473D23791Dd44Cc6</t>
  </si>
  <si>
    <t xml:space="preserve">No</t>
  </si>
  <si>
    <t xml:space="preserve">arbitrum-sepolia_0xe1cE95479C84e9809269227C7F8524aE051Ae77a</t>
  </si>
  <si>
    <t xml:space="preserve">arbitrum_0x1f8A4d195B647647c7dD45650CBd553FD33cCAA6</t>
  </si>
  <si>
    <t xml:space="preserve">arbitrum_0x2d5d7d31F671F86C782533cc367F14109a082712</t>
  </si>
  <si>
    <t xml:space="preserve">arbitrum_0x6513Aedb4D1593BA12e50644401D976aebDc90d8</t>
  </si>
  <si>
    <t xml:space="preserve">arbitrum_0x7Acbae6CBa67d78AAf69e47000884aE00F9B2525</t>
  </si>
  <si>
    <t xml:space="preserve">arbitrum_0x7DdB2d76b80B0AA19bDEa48EB1301182F4CeefbC</t>
  </si>
  <si>
    <t xml:space="preserve">arbitrum_0x83a93500d23Fbc3e82B410aD07A6a9F7A0670D66</t>
  </si>
  <si>
    <t xml:space="preserve">arbitrum_0x98B2920D53612483F91F12Ed7754E51b4A77919e</t>
  </si>
  <si>
    <t xml:space="preserve">arbitrum_0xB5FB4BE02232B1bBA4dC8f81dc24C26980dE9e3C</t>
  </si>
  <si>
    <t xml:space="preserve">arbitrum_0xCC940AE49C78F20E3F13F3cF37e996b98Ac3EC68</t>
  </si>
  <si>
    <t xml:space="preserve">arbitrum_0xc1DCb196BA862B337Aa23eDA1Cb9503C0801b955</t>
  </si>
  <si>
    <t xml:space="preserve">arbitrum_0xe432150cce91c13a887f7D836923d5597adD8E31</t>
  </si>
  <si>
    <t xml:space="preserve">avalanche_0x1f8A4d195B647647c7dD45650CBd553FD33cCAA6</t>
  </si>
  <si>
    <t xml:space="preserve">avalanche_0x2d5d7d31F671F86C782533cc367F14109a082712</t>
  </si>
  <si>
    <t xml:space="preserve">avalanche_0x5029C0EFf6C34351a0CEc334542cDb22c7928f78</t>
  </si>
  <si>
    <t xml:space="preserve">avalanche_0x6513Aedb4D1593BA12e50644401D976aebDc90d8</t>
  </si>
  <si>
    <t xml:space="preserve">avalanche_0x7Acbae6CBa67d78AAf69e47000884aE00F9B2525</t>
  </si>
  <si>
    <t xml:space="preserve">avalanche_0x7DdB2d76b80B0AA19bDEa48EB1301182F4CeefbC</t>
  </si>
  <si>
    <t xml:space="preserve">avalanche_0x7F83F5cA2AE4206AbFf8a3C3668e88ce5F11C0B5</t>
  </si>
  <si>
    <t xml:space="preserve">avalanche_0x83a93500d23Fbc3e82B410aD07A6a9F7A0670D66</t>
  </si>
  <si>
    <t xml:space="preserve">avalanche_0x98B2920D53612483F91F12Ed7754E51b4A77919e</t>
  </si>
  <si>
    <t xml:space="preserve">avalanche_0xB5FB4BE02232B1bBA4dC8f81dc24C26980dE9e3C</t>
  </si>
  <si>
    <t xml:space="preserve">avalanche_0xC249632c2D40b9001FE907806902f63038B737Ab</t>
  </si>
  <si>
    <t xml:space="preserve">avalanche_0xCC940AE49C78F20E3F13F3cF37e996b98Ac3EC68</t>
  </si>
  <si>
    <t xml:space="preserve">avalanche_0xbE406F0189A0B4cf3A05C286473D23791Dd44Cc6</t>
  </si>
  <si>
    <t xml:space="preserve">avalanche_0xc1DCb196BA862B337Aa23eDA1Cb9503C0801b955</t>
  </si>
  <si>
    <t xml:space="preserve">base-sepolia_0x6513Aedb4D1593BA12e50644401D976aebDc90d8</t>
  </si>
  <si>
    <t xml:space="preserve">base-sepolia_0x7Acbae6CBa67d78AAf69e47000884aE00F9B2525</t>
  </si>
  <si>
    <t xml:space="preserve">base-sepolia_0x7F83F5cA2AE4206AbFf8a3C3668e88ce5F11C0B5</t>
  </si>
  <si>
    <t xml:space="preserve">base-sepolia_0x83a93500d23Fbc3e82B410aD07A6a9F7A0670D66</t>
  </si>
  <si>
    <t xml:space="preserve">base-sepolia_0x98B2920D53612483F91F12Ed7754E51b4A77919e</t>
  </si>
  <si>
    <t xml:space="preserve">base-sepolia_0xB5FB4BE02232B1bBA4dC8f81dc24C26980dE9e3C</t>
  </si>
  <si>
    <t xml:space="preserve">base-sepolia_0xCC940AE49C78F20E3F13F3cF37e996b98Ac3EC68</t>
  </si>
  <si>
    <t xml:space="preserve">base-sepolia_0xbE406F0189A0B4cf3A05C286473D23791Dd44Cc6</t>
  </si>
  <si>
    <t xml:space="preserve">base-sepolia_0xe432150cce91c13a887f7D836923d5597adD8E31</t>
  </si>
  <si>
    <t xml:space="preserve">base_0x1f8A4d195B647647c7dD45650CBd553FD33cCAA6</t>
  </si>
  <si>
    <t xml:space="preserve">base_0x2d5d7d31F671F86C782533cc367F14109a082712</t>
  </si>
  <si>
    <t xml:space="preserve">base_0x6513Aedb4D1593BA12e50644401D976aebDc90d8</t>
  </si>
  <si>
    <t xml:space="preserve">base_0x7Acbae6CBa67d78AAf69e47000884aE00F9B2525</t>
  </si>
  <si>
    <t xml:space="preserve">base_0x7DdB2d76b80B0AA19bDEa48EB1301182F4CeefbC</t>
  </si>
  <si>
    <t xml:space="preserve">base_0x83a93500d23Fbc3e82B410aD07A6a9F7A0670D66</t>
  </si>
  <si>
    <t xml:space="preserve">base_0x98B2920D53612483F91F12Ed7754E51b4A77919e</t>
  </si>
  <si>
    <t xml:space="preserve">base_0xB5FB4BE02232B1bBA4dC8f81dc24C26980dE9e3C</t>
  </si>
  <si>
    <t xml:space="preserve">base_0xCC940AE49C78F20E3F13F3cF37e996b98Ac3EC68</t>
  </si>
  <si>
    <t xml:space="preserve">base_0xbE406F0189A0B4cf3A05C286473D23791Dd44Cc6</t>
  </si>
  <si>
    <t xml:space="preserve">base_0xc1DCb196BA862B337Aa23eDA1Cb9503C0801b955</t>
  </si>
  <si>
    <t xml:space="preserve">base_0xe432150cce91c13a887f7D836923d5597adD8E31</t>
  </si>
  <si>
    <t xml:space="preserve">berachain_0x2d5d7d31F671F86C782533cc367F14109a082712</t>
  </si>
  <si>
    <t xml:space="preserve">berachain_0x6513Aedb4D1593BA12e50644401D976aebDc90d8</t>
  </si>
  <si>
    <t xml:space="preserve">berachain_0x7DdB2d76b80B0AA19bDEa48EB1301182F4CeefbC</t>
  </si>
  <si>
    <t xml:space="preserve">berachain_0x83a93500d23Fbc3e82B410aD07A6a9F7A0670D66</t>
  </si>
  <si>
    <t xml:space="preserve">berachain_0x98B2920D53612483F91F12Ed7754E51b4A77919e</t>
  </si>
  <si>
    <t xml:space="preserve">berachain_0x9E6FF64bc4DE73a5339Cf0586515E213b10453d3</t>
  </si>
  <si>
    <t xml:space="preserve">berachain_0xB5FB4BE02232B1bBA4dC8f81dc24C26980dE9e3C</t>
  </si>
  <si>
    <t xml:space="preserve">berachain_0xe432150cce91c13a887f7D836923d5597adD8E31</t>
  </si>
  <si>
    <t xml:space="preserve">binance_0x1f8A4d195B647647c7dD45650CBd553FD33cCAA6</t>
  </si>
  <si>
    <t xml:space="preserve">binance_0x2d5d7d31F671F86C782533cc367F14109a082712</t>
  </si>
  <si>
    <t xml:space="preserve">binance_0x304acf330bbE08d1e512eefaa92F6a57871fD895</t>
  </si>
  <si>
    <t xml:space="preserve">binance_0x4D147dCb984e6affEEC47e44293DA442580A3Ec0</t>
  </si>
  <si>
    <t xml:space="preserve">binance_0x6513Aedb4D1593BA12e50644401D976aebDc90d8</t>
  </si>
  <si>
    <t xml:space="preserve">binance_0x723AEAD29acee7E9281C32D11eA4ed0070c41B13</t>
  </si>
  <si>
    <t xml:space="preserve">binance_0x7Acbae6CBa67d78AAf69e47000884aE00F9B2525</t>
  </si>
  <si>
    <t xml:space="preserve">binance_0x7DdB2d76b80B0AA19bDEa48EB1301182F4CeefbC</t>
  </si>
  <si>
    <t xml:space="preserve">binance_0x7F83F5cA2AE4206AbFf8a3C3668e88ce5F11C0B5</t>
  </si>
  <si>
    <t xml:space="preserve">binance_0x83a93500d23Fbc3e82B410aD07A6a9F7A0670D66</t>
  </si>
  <si>
    <t xml:space="preserve">binance_0x98B2920D53612483F91F12Ed7754E51b4A77919e</t>
  </si>
  <si>
    <t xml:space="preserve">binance_0xB5FB4BE02232B1bBA4dC8f81dc24C26980dE9e3C</t>
  </si>
  <si>
    <t xml:space="preserve">binance_0xCC940AE49C78F20E3F13F3cF37e996b98Ac3EC68</t>
  </si>
  <si>
    <t xml:space="preserve">binance_0xaa8267908e8d2BEfeB601f88A7Cf3ec148039423</t>
  </si>
  <si>
    <t xml:space="preserve">binance_0xbE406F0189A0B4cf3A05C286473D23791Dd44Cc6</t>
  </si>
  <si>
    <t xml:space="preserve">binance_0xc1DCb196BA862B337Aa23eDA1Cb9503C0801b955</t>
  </si>
  <si>
    <t xml:space="preserve">blast-sepolia_0x6513Aedb4D1593BA12e50644401D976aebDc90d8</t>
  </si>
  <si>
    <t xml:space="preserve">blast-sepolia_0x7F83F5cA2AE4206AbFf8a3C3668e88ce5F11C0B5</t>
  </si>
  <si>
    <t xml:space="preserve">blast-sepolia_0x83a93500d23Fbc3e82B410aD07A6a9F7A0670D66</t>
  </si>
  <si>
    <t xml:space="preserve">blast-sepolia_0x98B2920D53612483F91F12Ed7754E51b4A77919e</t>
  </si>
  <si>
    <t xml:space="preserve">blast-sepolia_0xB5FB4BE02232B1bBA4dC8f81dc24C26980dE9e3C</t>
  </si>
  <si>
    <t xml:space="preserve">blast-sepolia_0xCC940AE49C78F20E3F13F3cF37e996b98Ac3EC68</t>
  </si>
  <si>
    <t xml:space="preserve">blast-sepolia_0xbE406F0189A0B4cf3A05C286473D23791Dd44Cc6</t>
  </si>
  <si>
    <t xml:space="preserve">blast-sepolia_0xe432150cce91c13a887f7D836923d5597adD8E31</t>
  </si>
  <si>
    <t xml:space="preserve">blast-sepolia_0xfDF36A30070ea0241d69052ea85ff44Ad0476a66</t>
  </si>
  <si>
    <t xml:space="preserve">blast_0x2d5d7d31F671F86C782533cc367F14109a082712</t>
  </si>
  <si>
    <t xml:space="preserve">blast_0x6513Aedb4D1593BA12e50644401D976aebDc90d8</t>
  </si>
  <si>
    <t xml:space="preserve">blast_0x7Acbae6CBa67d78AAf69e47000884aE00F9B2525</t>
  </si>
  <si>
    <t xml:space="preserve">blast_0x7DdB2d76b80B0AA19bDEa48EB1301182F4CeefbC</t>
  </si>
  <si>
    <t xml:space="preserve">blast_0x83a93500d23Fbc3e82B410aD07A6a9F7A0670D66</t>
  </si>
  <si>
    <t xml:space="preserve">blast_0x98B2920D53612483F91F12Ed7754E51b4A77919e</t>
  </si>
  <si>
    <t xml:space="preserve">blast_0xB5FB4BE02232B1bBA4dC8f81dc24C26980dE9e3C</t>
  </si>
  <si>
    <t xml:space="preserve">blast_0xCC940AE49C78F20E3F13F3cF37e996b98Ac3EC68</t>
  </si>
  <si>
    <t xml:space="preserve">blast_0xe432150cce91c13a887f7D836923d5597adD8E31</t>
  </si>
  <si>
    <t xml:space="preserve">celo-sepolia_0x6513Aedb4D1593BA12e50644401D976aebDc90d8</t>
  </si>
  <si>
    <t xml:space="preserve">celo-sepolia_0x7F83F5cA2AE4206AbFf8a3C3668e88ce5F11C0B5</t>
  </si>
  <si>
    <t xml:space="preserve">celo-sepolia_0x83a93500d23Fbc3e82B410aD07A6a9F7A0670D66</t>
  </si>
  <si>
    <t xml:space="preserve">celo-sepolia_0x98B2920D53612483F91F12Ed7754E51b4A77919e</t>
  </si>
  <si>
    <t xml:space="preserve">celo-sepolia_0xB5FB4BE02232B1bBA4dC8f81dc24C26980dE9e3C</t>
  </si>
  <si>
    <t xml:space="preserve">celo-sepolia_0xb55A09E9fde39755c39EF9A7911431Ba0c96332A</t>
  </si>
  <si>
    <t xml:space="preserve">celo-sepolia_0xbE406F0189A0B4cf3A05C286473D23791Dd44Cc6</t>
  </si>
  <si>
    <t xml:space="preserve">celo-sepolia_0xe432150cce91c13a887f7D836923d5597adD8E31</t>
  </si>
  <si>
    <t xml:space="preserve">celo_0x1f8A4d195B647647c7dD45650CBd553FD33cCAA6</t>
  </si>
  <si>
    <t xml:space="preserve">celo_0x2d5d7d31F671F86C782533cc367F14109a082712</t>
  </si>
  <si>
    <t xml:space="preserve">celo_0x6513Aedb4D1593BA12e50644401D976aebDc90d8</t>
  </si>
  <si>
    <t xml:space="preserve">celo_0x7Acbae6CBa67d78AAf69e47000884aE00F9B2525</t>
  </si>
  <si>
    <t xml:space="preserve">celo_0x7DdB2d76b80B0AA19bDEa48EB1301182F4CeefbC</t>
  </si>
  <si>
    <t xml:space="preserve">celo_0x83a93500d23Fbc3e82B410aD07A6a9F7A0670D66</t>
  </si>
  <si>
    <t xml:space="preserve">celo_0x98B2920D53612483F91F12Ed7754E51b4A77919e</t>
  </si>
  <si>
    <t xml:space="preserve">celo_0xB5FB4BE02232B1bBA4dC8f81dc24C26980dE9e3C</t>
  </si>
  <si>
    <t xml:space="preserve">celo_0xCC940AE49C78F20E3F13F3cF37e996b98Ac3EC68</t>
  </si>
  <si>
    <t xml:space="preserve">celo_0xc1DCb196BA862B337Aa23eDA1Cb9503C0801b955</t>
  </si>
  <si>
    <t xml:space="preserve">celo_0xe432150cce91c13a887f7D836923d5597adD8E31</t>
  </si>
  <si>
    <t xml:space="preserve">centrifuge_0x2d5d7d31F671F86C782533cc367F14109a082712</t>
  </si>
  <si>
    <t xml:space="preserve">centrifuge_0x6513Aedb4D1593BA12e50644401D976aebDc90d8</t>
  </si>
  <si>
    <t xml:space="preserve">centrifuge_0x7DdB2d76b80B0AA19bDEa48EB1301182F4CeefbC</t>
  </si>
  <si>
    <t xml:space="preserve">centrifuge_0x98B2920D53612483F91F12Ed7754E51b4A77919e</t>
  </si>
  <si>
    <t xml:space="preserve">centrifuge_0xCC940AE49C78F20E3F13F3cF37e996b98Ac3EC68</t>
  </si>
  <si>
    <t xml:space="preserve">centrifuge_0xe432150cce91c13a887f7D836923d5597adD8E31</t>
  </si>
  <si>
    <t xml:space="preserve">centrifuge_0xfDF36A30070ea0241d69052ea85ff44Ad0476a66</t>
  </si>
  <si>
    <t xml:space="preserve">ethereum-sepolia_0x50beAbe4883981624aEa01F737B040d1e3Fe83FB</t>
  </si>
  <si>
    <t xml:space="preserve">ethereum-sepolia_0x6513Aedb4D1593BA12e50644401D976aebDc90d8</t>
  </si>
  <si>
    <t xml:space="preserve">ethereum-sepolia_0x7Acbae6CBa67d78AAf69e47000884aE00F9B2525</t>
  </si>
  <si>
    <t xml:space="preserve">ethereum-sepolia_0x7F83F5cA2AE4206AbFf8a3C3668e88ce5F11C0B5</t>
  </si>
  <si>
    <t xml:space="preserve">ethereum-sepolia_0x83a93500d23Fbc3e82B410aD07A6a9F7A0670D66</t>
  </si>
  <si>
    <t xml:space="preserve">ethereum-sepolia_0x98B2920D53612483F91F12Ed7754E51b4A77919e</t>
  </si>
  <si>
    <t xml:space="preserve">ethereum-sepolia_0xB5FB4BE02232B1bBA4dC8f81dc24C26980dE9e3C</t>
  </si>
  <si>
    <t xml:space="preserve">ethereum-sepolia_0xCC940AE49C78F20E3F13F3cF37e996b98Ac3EC68</t>
  </si>
  <si>
    <t xml:space="preserve">ethereum-sepolia_0xaa8267908e8d2BEfeB601f88A7Cf3ec148039423</t>
  </si>
  <si>
    <t xml:space="preserve">ethereum-sepolia_0xbE406F0189A0B4cf3A05C286473D23791Dd44Cc6</t>
  </si>
  <si>
    <t xml:space="preserve">ethereum-sepolia_0xe432150cce91c13a887f7D836923d5597adD8E31</t>
  </si>
  <si>
    <t xml:space="preserve">ethereum_0x1f8A4d195B647647c7dD45650CBd553FD33cCAA6</t>
  </si>
  <si>
    <t xml:space="preserve">ethereum_0x2d5d7d31F671F86C782533cc367F14109a082712</t>
  </si>
  <si>
    <t xml:space="preserve">ethereum_0x4F4495243837681061C4743b74B3eEdf548D56A5</t>
  </si>
  <si>
    <t xml:space="preserve">ethereum_0x50beAbe4883981624aEa01F737B040d1e3Fe83FB</t>
  </si>
  <si>
    <t xml:space="preserve">ethereum_0x6513Aedb4D1593BA12e50644401D976aebDc90d8</t>
  </si>
  <si>
    <t xml:space="preserve">ethereum_0x723AEAD29acee7E9281C32D11eA4ed0070c41B13</t>
  </si>
  <si>
    <t xml:space="preserve">ethereum_0x7Acbae6CBa67d78AAf69e47000884aE00F9B2525</t>
  </si>
  <si>
    <t xml:space="preserve">ethereum_0x7DdB2d76b80B0AA19bDEa48EB1301182F4CeefbC</t>
  </si>
  <si>
    <t xml:space="preserve">ethereum_0x83a93500d23Fbc3e82B410aD07A6a9F7A0670D66</t>
  </si>
  <si>
    <t xml:space="preserve">ethereum_0x98B2920D53612483F91F12Ed7754E51b4A77919e</t>
  </si>
  <si>
    <t xml:space="preserve">ethereum_0xB5FB4BE02232B1bBA4dC8f81dc24C26980dE9e3C</t>
  </si>
  <si>
    <t xml:space="preserve">ethereum_0xCC940AE49C78F20E3F13F3cF37e996b98Ac3EC68</t>
  </si>
  <si>
    <t xml:space="preserve">ethereum_0xc1DCb196BA862B337Aa23eDA1Cb9503C0801b955</t>
  </si>
  <si>
    <t xml:space="preserve">fraxtal_0x2d5d7d31F671F86C782533cc367F14109a082712</t>
  </si>
  <si>
    <t xml:space="preserve">fraxtal_0x6513Aedb4D1593BA12e50644401D976aebDc90d8</t>
  </si>
  <si>
    <t xml:space="preserve">fraxtal_0x7Acbae6CBa67d78AAf69e47000884aE00F9B2525</t>
  </si>
  <si>
    <t xml:space="preserve">fraxtal_0x7DdB2d76b80B0AA19bDEa48EB1301182F4CeefbC</t>
  </si>
  <si>
    <t xml:space="preserve">fraxtal_0x83a93500d23Fbc3e82B410aD07A6a9F7A0670D66</t>
  </si>
  <si>
    <t xml:space="preserve">fraxtal_0x98B2920D53612483F91F12Ed7754E51b4A77919e</t>
  </si>
  <si>
    <t xml:space="preserve">fraxtal_0xB5FB4BE02232B1bBA4dC8f81dc24C26980dE9e3C</t>
  </si>
  <si>
    <t xml:space="preserve">fraxtal_0xCC940AE49C78F20E3F13F3cF37e996b98Ac3EC68</t>
  </si>
  <si>
    <t xml:space="preserve">fraxtal_0xe432150cce91c13a887f7D836923d5597adD8E31</t>
  </si>
  <si>
    <t xml:space="preserve">immutable_0x24C2b56128fF8E7bFaD578ABefB0fc7Dfa9ba358</t>
  </si>
  <si>
    <t xml:space="preserve">immutable_0x6513Aedb4D1593BA12e50644401D976aebDc90d8</t>
  </si>
  <si>
    <t xml:space="preserve">immutable_0x7Acbae6CBa67d78AAf69e47000884aE00F9B2525</t>
  </si>
  <si>
    <t xml:space="preserve">immutable_0x7F83F5cA2AE4206AbFf8a3C3668e88ce5F11C0B5</t>
  </si>
  <si>
    <t xml:space="preserve">immutable_0x83a93500d23Fbc3e82B410aD07A6a9F7A0670D66</t>
  </si>
  <si>
    <t xml:space="preserve">immutable_0x98B2920D53612483F91F12Ed7754E51b4A77919e</t>
  </si>
  <si>
    <t xml:space="preserve">immutable_0xB5FB4BE02232B1bBA4dC8f81dc24C26980dE9e3C</t>
  </si>
  <si>
    <t xml:space="preserve">immutable_0xCC940AE49C78F20E3F13F3cF37e996b98Ac3EC68</t>
  </si>
  <si>
    <t xml:space="preserve">immutable_0xbE406F0189A0B4cf3A05C286473D23791Dd44Cc6</t>
  </si>
  <si>
    <t xml:space="preserve">immutable_0xdC46f07661B673Fc262f61FC5b05B10A58a3b7fE</t>
  </si>
  <si>
    <t xml:space="preserve">immutable_0xe432150cce91c13a887f7D836923d5597adD8E31</t>
  </si>
  <si>
    <t xml:space="preserve">immutable_0xfEF5c90d84a1C93804496f5e7fbf98ec0C85243C</t>
  </si>
  <si>
    <t xml:space="preserve">linea-sepolia_0x6513Aedb4D1593BA12e50644401D976aebDc90d8</t>
  </si>
  <si>
    <t xml:space="preserve">linea-sepolia_0x7Acbae6CBa67d78AAf69e47000884aE00F9B2525</t>
  </si>
  <si>
    <t xml:space="preserve">linea-sepolia_0x7F83F5cA2AE4206AbFf8a3C3668e88ce5F11C0B5</t>
  </si>
  <si>
    <t xml:space="preserve">linea-sepolia_0x83a93500d23Fbc3e82B410aD07A6a9F7A0670D66</t>
  </si>
  <si>
    <t xml:space="preserve">linea-sepolia_0x98B2920D53612483F91F12Ed7754E51b4A77919e</t>
  </si>
  <si>
    <t xml:space="preserve">linea-sepolia_0xB5FB4BE02232B1bBA4dC8f81dc24C26980dE9e3C</t>
  </si>
  <si>
    <t xml:space="preserve">linea-sepolia_0xCC940AE49C78F20E3F13F3cF37e996b98Ac3EC68</t>
  </si>
  <si>
    <t xml:space="preserve">linea-sepolia_0xbE406F0189A0B4cf3A05C286473D23791Dd44Cc6</t>
  </si>
  <si>
    <t xml:space="preserve">linea-sepolia_0xe432150cce91c13a887f7D836923d5597adD8E31</t>
  </si>
  <si>
    <t xml:space="preserve">linea_0x1f8A4d195B647647c7dD45650CBd553FD33cCAA6</t>
  </si>
  <si>
    <t xml:space="preserve">linea_0x2d5d7d31F671F86C782533cc367F14109a082712</t>
  </si>
  <si>
    <t xml:space="preserve">linea_0x6513Aedb4D1593BA12e50644401D976aebDc90d8</t>
  </si>
  <si>
    <t xml:space="preserve">linea_0x7Acbae6CBa67d78AAf69e47000884aE00F9B2525</t>
  </si>
  <si>
    <t xml:space="preserve">linea_0x7DdB2d76b80B0AA19bDEa48EB1301182F4CeefbC</t>
  </si>
  <si>
    <t xml:space="preserve">linea_0x83a93500d23Fbc3e82B410aD07A6a9F7A0670D66</t>
  </si>
  <si>
    <t xml:space="preserve">linea_0x98B2920D53612483F91F12Ed7754E51b4A77919e</t>
  </si>
  <si>
    <t xml:space="preserve">linea_0xB5FB4BE02232B1bBA4dC8f81dc24C26980dE9e3C</t>
  </si>
  <si>
    <t xml:space="preserve">linea_0xCC940AE49C78F20E3F13F3cF37e996b98Ac3EC68</t>
  </si>
  <si>
    <t xml:space="preserve">linea_0xc1DCb196BA862B337Aa23eDA1Cb9503C0801b955</t>
  </si>
  <si>
    <t xml:space="preserve">linea_0xe432150cce91c13a887f7D836923d5597adD8E31</t>
  </si>
  <si>
    <t xml:space="preserve">mantle_0x1f8A4d195B647647c7dD45650CBd553FD33cCAA6</t>
  </si>
  <si>
    <t xml:space="preserve">mantle_0x2d5d7d31F671F86C782533cc367F14109a082712</t>
  </si>
  <si>
    <t xml:space="preserve">mantle_0x6513Aedb4D1593BA12e50644401D976aebDc90d8</t>
  </si>
  <si>
    <t xml:space="preserve">mantle_0x7Acbae6CBa67d78AAf69e47000884aE00F9B2525</t>
  </si>
  <si>
    <t xml:space="preserve">mantle_0x7DdB2d76b80B0AA19bDEa48EB1301182F4CeefbC</t>
  </si>
  <si>
    <t xml:space="preserve">mantle_0x83a93500d23Fbc3e82B410aD07A6a9F7A0670D66</t>
  </si>
  <si>
    <t xml:space="preserve">mantle_0x98B2920D53612483F91F12Ed7754E51b4A77919e</t>
  </si>
  <si>
    <t xml:space="preserve">mantle_0xB5FB4BE02232B1bBA4dC8f81dc24C26980dE9e3C</t>
  </si>
  <si>
    <t xml:space="preserve">mantle_0xCC940AE49C78F20E3F13F3cF37e996b98Ac3EC68</t>
  </si>
  <si>
    <t xml:space="preserve">mantle_0xc1DCb196BA862B337Aa23eDA1Cb9503C0801b955</t>
  </si>
  <si>
    <t xml:space="preserve">mantle_0xe432150cce91c13a887f7D836923d5597adD8E31</t>
  </si>
  <si>
    <t xml:space="preserve">moonbeam_0x1f8A4d195B647647c7dD45650CBd553FD33cCAA6</t>
  </si>
  <si>
    <t xml:space="preserve">moonbeam_0x2d5d7d31F671F86C782533cc367F14109a082712</t>
  </si>
  <si>
    <t xml:space="preserve">moonbeam_0x4F4495243837681061C4743b74B3eEdf548D56A5</t>
  </si>
  <si>
    <t xml:space="preserve">moonbeam_0x6513Aedb4D1593BA12e50644401D976aebDc90d8</t>
  </si>
  <si>
    <t xml:space="preserve">moonbeam_0x7Acbae6CBa67d78AAf69e47000884aE00F9B2525</t>
  </si>
  <si>
    <t xml:space="preserve">moonbeam_0x7DdB2d76b80B0AA19bDEa48EB1301182F4CeefbC</t>
  </si>
  <si>
    <t xml:space="preserve">moonbeam_0x83a93500d23Fbc3e82B410aD07A6a9F7A0670D66</t>
  </si>
  <si>
    <t xml:space="preserve">moonbeam_0x98B2920D53612483F91F12Ed7754E51b4A77919e</t>
  </si>
  <si>
    <t xml:space="preserve">moonbeam_0xB5FB4BE02232B1bBA4dC8f81dc24C26980dE9e3C</t>
  </si>
  <si>
    <t xml:space="preserve">moonbeam_0xCC940AE49C78F20E3F13F3cF37e996b98Ac3EC68</t>
  </si>
  <si>
    <t xml:space="preserve">moonbeam_0xc1DCb196BA862B337Aa23eDA1Cb9503C0801b955</t>
  </si>
  <si>
    <t xml:space="preserve">optimism-sepolia_0x6513Aedb4D1593BA12e50644401D976aebDc90d8</t>
  </si>
  <si>
    <t xml:space="preserve">optimism-sepolia_0x7Acbae6CBa67d78AAf69e47000884aE00F9B2525</t>
  </si>
  <si>
    <t xml:space="preserve">optimism-sepolia_0x7F83F5cA2AE4206AbFf8a3C3668e88ce5F11C0B5</t>
  </si>
  <si>
    <t xml:space="preserve">optimism-sepolia_0x83a93500d23Fbc3e82B410aD07A6a9F7A0670D66</t>
  </si>
  <si>
    <t xml:space="preserve">optimism-sepolia_0x98B2920D53612483F91F12Ed7754E51b4A77919e</t>
  </si>
  <si>
    <t xml:space="preserve">optimism-sepolia_0xB5FB4BE02232B1bBA4dC8f81dc24C26980dE9e3C</t>
  </si>
  <si>
    <t xml:space="preserve">optimism-sepolia_0xCC940AE49C78F20E3F13F3cF37e996b98Ac3EC68</t>
  </si>
  <si>
    <t xml:space="preserve">optimism-sepolia_0xbE406F0189A0B4cf3A05C286473D23791Dd44Cc6</t>
  </si>
  <si>
    <t xml:space="preserve">optimism-sepolia_0xe432150cce91c13a887f7D836923d5597adD8E31</t>
  </si>
  <si>
    <t xml:space="preserve">optimism_0x1f8A4d195B647647c7dD45650CBd553FD33cCAA6</t>
  </si>
  <si>
    <t xml:space="preserve">optimism_0x2d5d7d31F671F86C782533cc367F14109a082712</t>
  </si>
  <si>
    <t xml:space="preserve">optimism_0x6513Aedb4D1593BA12e50644401D976aebDc90d8</t>
  </si>
  <si>
    <t xml:space="preserve">optimism_0x7Acbae6CBa67d78AAf69e47000884aE00F9B2525</t>
  </si>
  <si>
    <t xml:space="preserve">optimism_0x7DdB2d76b80B0AA19bDEa48EB1301182F4CeefbC</t>
  </si>
  <si>
    <t xml:space="preserve">optimism_0x83a93500d23Fbc3e82B410aD07A6a9F7A0670D66</t>
  </si>
  <si>
    <t xml:space="preserve">optimism_0x98B2920D53612483F91F12Ed7754E51b4A77919e</t>
  </si>
  <si>
    <t xml:space="preserve">optimism_0xB5FB4BE02232B1bBA4dC8f81dc24C26980dE9e3C</t>
  </si>
  <si>
    <t xml:space="preserve">optimism_0xCC940AE49C78F20E3F13F3cF37e996b98Ac3EC68</t>
  </si>
  <si>
    <t xml:space="preserve">optimism_0xbE406F0189A0B4cf3A05C286473D23791Dd44Cc6</t>
  </si>
  <si>
    <t xml:space="preserve">optimism_0xc1DCb196BA862B337Aa23eDA1Cb9503C0801b955</t>
  </si>
  <si>
    <t xml:space="preserve">optimism_0xe432150cce91c13a887f7D836923d5597adD8E31</t>
  </si>
  <si>
    <t xml:space="preserve">polygon-sepolia_0x6513Aedb4D1593BA12e50644401D976aebDc90d8</t>
  </si>
  <si>
    <t xml:space="preserve">polygon-sepolia_0x7Acbae6CBa67d78AAf69e47000884aE00F9B2525</t>
  </si>
  <si>
    <t xml:space="preserve">polygon-sepolia_0x7F83F5cA2AE4206AbFf8a3C3668e88ce5F11C0B5</t>
  </si>
  <si>
    <t xml:space="preserve">polygon-sepolia_0x83a93500d23Fbc3e82B410aD07A6a9F7A0670D66</t>
  </si>
  <si>
    <t xml:space="preserve">polygon-sepolia_0x98B2920D53612483F91F12Ed7754E51b4A77919e</t>
  </si>
  <si>
    <t xml:space="preserve">polygon-sepolia_0xB5FB4BE02232B1bBA4dC8f81dc24C26980dE9e3C</t>
  </si>
  <si>
    <t xml:space="preserve">polygon-sepolia_0xCC940AE49C78F20E3F13F3cF37e996b98Ac3EC68</t>
  </si>
  <si>
    <t xml:space="preserve">polygon-sepolia_0xbE406F0189A0B4cf3A05C286473D23791Dd44Cc6</t>
  </si>
  <si>
    <t xml:space="preserve">polygon-sepolia_0xe432150cce91c13a887f7D836923d5597adD8E31</t>
  </si>
  <si>
    <t xml:space="preserve">polygon_0x1f8A4d195B647647c7dD45650CBd553FD33cCAA6</t>
  </si>
  <si>
    <t xml:space="preserve">polygon_0x2d5d7d31F671F86C782533cc367F14109a082712</t>
  </si>
  <si>
    <t xml:space="preserve">polygon_0x6513Aedb4D1593BA12e50644401D976aebDc90d8</t>
  </si>
  <si>
    <t xml:space="preserve">polygon_0x6f015F16De9fC8791b234eF68D486d2bF203FBA8</t>
  </si>
  <si>
    <t xml:space="preserve">polygon_0x7Acbae6CBa67d78AAf69e47000884aE00F9B2525</t>
  </si>
  <si>
    <t xml:space="preserve">polygon_0x7DdB2d76b80B0AA19bDEa48EB1301182F4CeefbC</t>
  </si>
  <si>
    <t xml:space="preserve">polygon_0x83a93500d23Fbc3e82B410aD07A6a9F7A0670D66</t>
  </si>
  <si>
    <t xml:space="preserve">polygon_0x98B2920D53612483F91F12Ed7754E51b4A77919e</t>
  </si>
  <si>
    <t xml:space="preserve">polygon_0xB5FB4BE02232B1bBA4dC8f81dc24C26980dE9e3C</t>
  </si>
  <si>
    <t xml:space="preserve">polygon_0xCC940AE49C78F20E3F13F3cF37e996b98Ac3EC68</t>
  </si>
  <si>
    <t xml:space="preserve">polygon_0xc1DCb196BA862B337Aa23eDA1Cb9503C0801b955</t>
  </si>
  <si>
    <t xml:space="preserve">test-avalanche_0x14213B104d2D897cFeE3767F24277771C8e6B702</t>
  </si>
  <si>
    <t xml:space="preserve">test-avalanche_0x6513Aedb4D1593BA12e50644401D976aebDc90d8</t>
  </si>
  <si>
    <t xml:space="preserve">test-avalanche_0x6D37Ca166d05132e632C78882391031a3B5b6cE8</t>
  </si>
  <si>
    <t xml:space="preserve">test-avalanche_0x98B2920D53612483F91F12Ed7754E51b4A77919e</t>
  </si>
  <si>
    <t xml:space="preserve">test-avalanche_0xCC940AE49C78F20E3F13F3cF37e996b98Ac3EC68</t>
  </si>
  <si>
    <t xml:space="preserve">test-avalanche_0xb55A09E9fde39755c39EF9A7911431Ba0c96332A</t>
  </si>
  <si>
    <t xml:space="preserve">test-avalanche_0xbcfcF78b4a695c9f9569f7EfFD9B759A7a82F25E</t>
  </si>
  <si>
    <t xml:space="preserve">test-sepolia_0x14213B104d2D897cFeE3767F24277771C8e6B702</t>
  </si>
  <si>
    <t xml:space="preserve">test-sepolia_0x6513Aedb4D1593BA12e50644401D976aebDc90d8</t>
  </si>
  <si>
    <t xml:space="preserve">test-sepolia_0x6D37Ca166d05132e632C78882391031a3B5b6cE8</t>
  </si>
  <si>
    <t xml:space="preserve">test-sepolia_0x98B2920D53612483F91F12Ed7754E51b4A77919e</t>
  </si>
  <si>
    <t xml:space="preserve">test-sepolia_0xCC940AE49C78F20E3F13F3cF37e996b98Ac3EC68</t>
  </si>
  <si>
    <t xml:space="preserve">test-sepolia_0xb55A09E9fde39755c39EF9A7911431Ba0c96332A</t>
  </si>
  <si>
    <t xml:space="preserve">test-sepolia_0xbcfcF78b4a695c9f9569f7EfFD9B759A7a82F25E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</si>
</sst>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tr">
        <f aca="false">"Addresses queried: "&amp;COUNTA(Data!A2:A266)&amp;"  |  Chains covered: 26"</f>
        <v>Addresses queried: 265  |  Chains covered: 26</v>
      </c>
    </row>
    <row r="5" customFormat="false" ht="15" hidden="false" customHeight="false" outlineLevel="0" collapsed="false">
      <c r="A5" s="3" t="str">
        <f aca="false">"Contracts with resolved bytecode: "&amp;SUM(Data!C2:C266)&amp;"  |  No bytecode (EOA/unverified): "&amp;(COUNTA(Data!A2:A266)-SUM(Data!C2:C266))</f>
        <v>Contracts with resolved bytecode: 151  |  No bytecode (EOA/unverified): 114</v>
      </c>
    </row>
    <row r="6" customFormat="false" ht="15" hidden="false" customHeight="false" outlineLevel="0" collapsed="false">
      <c r="A6" s="3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100.0% of resolved contracts (151/151)</v>
      </c>
    </row>
    <row r="7" customFormat="false" ht="15" hidden="false" customHeight="false" outlineLevel="0" collapsed="false">
      <c r="A7" s="3" t="str">
        <f aca="false">"MAIAN flag rate: "&amp;TEXT(Tool_Wise_Analysis!E4,"0.0%")</f>
        <v>MAIAN flag rate: 100.0%</v>
      </c>
    </row>
    <row r="8" customFormat="false" ht="15" hidden="false" customHeight="false" outlineLevel="0" collapsed="false">
      <c r="A8" s="3" t="str">
        <f aca="false">"Mythril flag rate: "&amp;TEXT(Tool_Wise_Analysis!E5,"0.0%")</f>
        <v>Mythril flag rate: 12.6%</v>
      </c>
    </row>
    <row r="9" customFormat="false" ht="15" hidden="false" customHeight="false" outlineLevel="0" collapsed="false">
      <c r="A9" s="3" t="str">
        <f aca="false">"Tool agreement (Jaccard, MAIAN vs Mythril): "&amp;TEXT(Agreement_Jaccard!B11,"0.0000")</f>
        <v>Tool agreement (Jaccard, MAIAN vs Mythril): 0.1258</v>
      </c>
    </row>
    <row r="11" customFormat="false" ht="15.75" hidden="false" customHeight="true" outlineLevel="0" collapsed="false">
      <c r="A11" s="2" t="s">
        <v>2</v>
      </c>
    </row>
    <row r="12" customFormat="false" ht="15" hidden="false" customHeight="false" outlineLevel="0" collapsed="false">
      <c r="A12" s="3" t="str">
        <f aca="false">"Highest-prevalence category: "&amp;INDEX(Per_Vulnerability_Analysis!A5:A14,MATCH(MAX(Per_Vulnerability_Analysis!C5:C14),Per_Vulnerability_Analysis!C5:C14,0))&amp;" ("&amp;TEXT(MAX(Per_Vulnerability_Analysis!E5:E14),"0.0%")&amp;" prevalence)"</f>
        <v>Highest-prevalence category: Locked Ether (68.9% prevalence)</v>
      </c>
    </row>
    <row r="13" customFormat="false" ht="15" hidden="false" customHeight="false" outlineLevel="0" collapsed="false">
      <c r="A13" s="3" t="str">
        <f aca="false">"Only MAIAN and Mythril returned detections in this run; 8 of 11 tracked categories show zero hits — see Formula_Definitions / Per_Vulnerability_Analysis."</f>
        <v>Only MAIAN and Mythril returned detections in this run; 8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8"/>
  </cols>
  <sheetData>
    <row r="1" customFormat="false" ht="15" hidden="false" customHeight="false" outlineLevel="0" collapsed="false">
      <c r="A1" s="4" t="s">
        <v>3</v>
      </c>
      <c r="B1" s="4" t="s">
        <v>4</v>
      </c>
      <c r="C1" s="4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</row>
    <row r="3" customFormat="false" ht="23.85" hidden="false" customHeight="false" outlineLevel="0" collapsed="false">
      <c r="A3" s="5" t="s">
        <v>9</v>
      </c>
      <c r="B3" s="5" t="s">
        <v>10</v>
      </c>
      <c r="C3" s="5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26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30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31</v>
      </c>
      <c r="B3" s="7" t="s">
        <v>32</v>
      </c>
      <c r="C3" s="7" t="s">
        <v>6</v>
      </c>
      <c r="D3" s="7" t="s">
        <v>9</v>
      </c>
      <c r="E3" s="7" t="s">
        <v>12</v>
      </c>
      <c r="F3" s="7" t="s">
        <v>33</v>
      </c>
    </row>
    <row r="4" customFormat="false" ht="15" hidden="false" customHeight="false" outlineLevel="0" collapsed="false">
      <c r="A4" s="8" t="s">
        <v>34</v>
      </c>
      <c r="B4" s="8" t="s">
        <v>35</v>
      </c>
      <c r="C4" s="8" t="n">
        <f aca="false">COUNTIF(Data!E2:E266,"&lt;&gt;")</f>
        <v>0</v>
      </c>
      <c r="D4" s="8" t="n">
        <f aca="false">SUM(Data!C2:C266)</f>
        <v>151</v>
      </c>
      <c r="E4" s="9" t="n">
        <f aca="false">IF(D4=0,0,C4/D4)</f>
        <v>0</v>
      </c>
      <c r="F4" s="10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n">
        <f aca="false">COUNTIF(Data!F2:F266,"&lt;&gt;")</f>
        <v>19</v>
      </c>
      <c r="D5" s="8" t="n">
        <f aca="false">SUM(Data!C2:C266)</f>
        <v>151</v>
      </c>
      <c r="E5" s="9" t="n">
        <f aca="false">IF(D5=0,0,C5/D5)</f>
        <v>0.125827814569536</v>
      </c>
      <c r="F5" s="10" t="s">
        <v>39</v>
      </c>
    </row>
    <row r="6" customFormat="false" ht="15" hidden="false" customHeight="false" outlineLevel="0" collapsed="false">
      <c r="A6" s="8" t="s">
        <v>40</v>
      </c>
      <c r="B6" s="8" t="s">
        <v>35</v>
      </c>
      <c r="C6" s="8" t="n">
        <f aca="false">COUNTIF(Data!G2:G266,"&lt;&gt;")</f>
        <v>0</v>
      </c>
      <c r="D6" s="8" t="n">
        <f aca="false">SUM(Data!C2:C266)</f>
        <v>151</v>
      </c>
      <c r="E6" s="9" t="n">
        <f aca="false">IF(D6=0,0,C6/D6)</f>
        <v>0</v>
      </c>
      <c r="F6" s="10" t="s">
        <v>36</v>
      </c>
    </row>
    <row r="7" customFormat="false" ht="15" hidden="false" customHeight="false" outlineLevel="0" collapsed="false">
      <c r="A7" s="8" t="s">
        <v>41</v>
      </c>
      <c r="B7" s="8" t="s">
        <v>35</v>
      </c>
      <c r="C7" s="8" t="n">
        <f aca="false">COUNTIF(Data!H2:H266,"&lt;&gt;")</f>
        <v>0</v>
      </c>
      <c r="D7" s="8" t="n">
        <f aca="false">SUM(Data!C2:C266)</f>
        <v>151</v>
      </c>
      <c r="E7" s="9" t="n">
        <f aca="false">IF(D7=0,0,C7/D7)</f>
        <v>0</v>
      </c>
      <c r="F7" s="10" t="s">
        <v>36</v>
      </c>
    </row>
    <row r="8" customFormat="false" ht="15" hidden="false" customHeight="false" outlineLevel="0" collapsed="false">
      <c r="A8" s="8" t="s">
        <v>42</v>
      </c>
      <c r="B8" s="8" t="s">
        <v>35</v>
      </c>
      <c r="C8" s="8" t="n">
        <f aca="false">COUNTIF(Data!I2:I266,"&lt;&gt;")</f>
        <v>0</v>
      </c>
      <c r="D8" s="8" t="n">
        <f aca="false">SUM(Data!C2:C266)</f>
        <v>151</v>
      </c>
      <c r="E8" s="9" t="n">
        <f aca="false">IF(D8=0,0,C8/D8)</f>
        <v>0</v>
      </c>
      <c r="F8" s="10" t="s">
        <v>36</v>
      </c>
    </row>
    <row r="9" customFormat="false" ht="15" hidden="false" customHeight="false" outlineLevel="0" collapsed="false">
      <c r="A9" s="8" t="s">
        <v>43</v>
      </c>
      <c r="B9" s="8" t="s">
        <v>35</v>
      </c>
      <c r="C9" s="8" t="n">
        <f aca="false">COUNTIF(Data!J2:J266,"&lt;&gt;")</f>
        <v>0</v>
      </c>
      <c r="D9" s="8" t="n">
        <f aca="false">SUM(Data!C2:C266)</f>
        <v>151</v>
      </c>
      <c r="E9" s="9" t="n">
        <f aca="false">IF(D9=0,0,C9/D9)</f>
        <v>0</v>
      </c>
      <c r="F9" s="10" t="s">
        <v>36</v>
      </c>
    </row>
    <row r="10" customFormat="false" ht="15" hidden="false" customHeight="false" outlineLevel="0" collapsed="false">
      <c r="A10" s="8" t="s">
        <v>44</v>
      </c>
      <c r="B10" s="8" t="s">
        <v>35</v>
      </c>
      <c r="C10" s="8" t="n">
        <f aca="false">COUNTIF(Data!K2:K266,"&lt;&gt;")</f>
        <v>0</v>
      </c>
      <c r="D10" s="8" t="n">
        <f aca="false">SUM(Data!C2:C266)</f>
        <v>151</v>
      </c>
      <c r="E10" s="9" t="n">
        <f aca="false">IF(D10=0,0,C10/D10)</f>
        <v>0</v>
      </c>
      <c r="F10" s="10" t="s">
        <v>36</v>
      </c>
    </row>
    <row r="11" customFormat="false" ht="15" hidden="false" customHeight="false" outlineLevel="0" collapsed="false">
      <c r="A11" s="8" t="s">
        <v>45</v>
      </c>
      <c r="B11" s="8" t="s">
        <v>35</v>
      </c>
      <c r="C11" s="8" t="n">
        <f aca="false">COUNTIF(Data!L2:L266,"&lt;&gt;")</f>
        <v>0</v>
      </c>
      <c r="D11" s="8" t="n">
        <f aca="false">SUM(Data!C2:C266)</f>
        <v>151</v>
      </c>
      <c r="E11" s="9" t="n">
        <f aca="false">IF(D11=0,0,C11/D11)</f>
        <v>0</v>
      </c>
      <c r="F11" s="10" t="s">
        <v>36</v>
      </c>
    </row>
    <row r="12" customFormat="false" ht="15" hidden="false" customHeight="false" outlineLevel="0" collapsed="false">
      <c r="A12" s="8" t="s">
        <v>46</v>
      </c>
      <c r="B12" s="8" t="s">
        <v>35</v>
      </c>
      <c r="C12" s="8" t="n">
        <f aca="false">COUNTIF(Data!M2:M266,"&lt;&gt;")</f>
        <v>0</v>
      </c>
      <c r="D12" s="8" t="n">
        <f aca="false">SUM(Data!C2:C266)</f>
        <v>151</v>
      </c>
      <c r="E12" s="9" t="n">
        <f aca="false">IF(D12=0,0,C12/D12)</f>
        <v>0</v>
      </c>
      <c r="F12" s="10" t="s">
        <v>36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n">
        <f aca="false">COUNTIF(Data!N2:N266,"&lt;&gt;")</f>
        <v>104</v>
      </c>
      <c r="D13" s="8" t="n">
        <f aca="false">SUM(Data!C2:C266)</f>
        <v>151</v>
      </c>
      <c r="E13" s="9" t="n">
        <f aca="false">IF(D13=0,0,C13/D13)</f>
        <v>0.688741721854305</v>
      </c>
      <c r="F13" s="10" t="s">
        <v>39</v>
      </c>
    </row>
    <row r="14" customFormat="false" ht="15" hidden="false" customHeight="false" outlineLevel="0" collapsed="false">
      <c r="A14" s="8" t="s">
        <v>49</v>
      </c>
      <c r="B14" s="8" t="s">
        <v>48</v>
      </c>
      <c r="C14" s="8" t="n">
        <f aca="false">COUNTIF(Data!O2:O266,"&lt;&gt;")</f>
        <v>104</v>
      </c>
      <c r="D14" s="8" t="n">
        <f aca="false">SUM(Data!C2:C266)</f>
        <v>151</v>
      </c>
      <c r="E14" s="9" t="n">
        <f aca="false">IF(D14=0,0,C14/D14)</f>
        <v>0.688741721854305</v>
      </c>
      <c r="F14" s="10" t="s">
        <v>39</v>
      </c>
    </row>
    <row r="15" customFormat="false" ht="15" hidden="false" customHeight="false" outlineLevel="0" collapsed="false">
      <c r="A15" s="11" t="s">
        <v>50</v>
      </c>
      <c r="B15" s="11" t="s">
        <v>51</v>
      </c>
      <c r="C15" s="11" t="n">
        <f aca="false">COUNTIFS(Data!C2:C266,1,Data!P2:P266,"Yes")</f>
        <v>151</v>
      </c>
      <c r="D15" s="11" t="n">
        <f aca="false">SUM(Data!C2:C266)</f>
        <v>151</v>
      </c>
      <c r="E15" s="12" t="n">
        <f aca="false">IF(D15=0,0,C15/D15)</f>
        <v>1</v>
      </c>
      <c r="F15" s="1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53</v>
      </c>
      <c r="B1" s="6"/>
      <c r="C1" s="6"/>
      <c r="D1" s="6"/>
    </row>
    <row r="3" customFormat="false" ht="15" hidden="false" customHeight="false" outlineLevel="0" collapsed="false">
      <c r="A3" s="14" t="s">
        <v>54</v>
      </c>
      <c r="B3" s="14"/>
      <c r="C3" s="14"/>
      <c r="D3" s="14"/>
    </row>
    <row r="5" customFormat="false" ht="15" hidden="false" customHeight="false" outlineLevel="0" collapsed="false">
      <c r="A5" s="15" t="s">
        <v>18</v>
      </c>
      <c r="B5" s="15" t="s">
        <v>55</v>
      </c>
      <c r="C5" s="15" t="s">
        <v>56</v>
      </c>
      <c r="D5" s="15" t="s">
        <v>33</v>
      </c>
    </row>
    <row r="6" customFormat="false" ht="15" hidden="false" customHeight="false" outlineLevel="0" collapsed="false">
      <c r="A6" s="8" t="s">
        <v>57</v>
      </c>
      <c r="B6" s="8" t="n">
        <f aca="false">SUMPRODUCT((Data!C2:C266=1)*(((Data!F2:F266&lt;&gt;"")+(Data!N2:N266&lt;&gt;"")+(Data!O2:O266&lt;&gt;""))=0))</f>
        <v>0</v>
      </c>
      <c r="C6" s="9" t="n">
        <f aca="false">IF(SUM(Data!C2:C266)=0,0,B6/SUM(Data!C2:C266))</f>
        <v>0</v>
      </c>
      <c r="D6" s="16"/>
    </row>
    <row r="7" customFormat="false" ht="15" hidden="false" customHeight="false" outlineLevel="0" collapsed="false">
      <c r="A7" s="8" t="s">
        <v>58</v>
      </c>
      <c r="B7" s="8" t="n">
        <f aca="false">SUMPRODUCT((Data!C2:C266=1)*(((Data!F2:F266&lt;&gt;"")+(Data!N2:N266&lt;&gt;"")+(Data!O2:O266&lt;&gt;""))=1))</f>
        <v>94</v>
      </c>
      <c r="C7" s="9" t="n">
        <f aca="false">IF(SUM(Data!C2:C266)=0,0,B7/SUM(Data!C2:C266))</f>
        <v>0.622516556291391</v>
      </c>
      <c r="D7" s="16"/>
    </row>
    <row r="8" customFormat="false" ht="15" hidden="false" customHeight="false" outlineLevel="0" collapsed="false">
      <c r="A8" s="8" t="s">
        <v>59</v>
      </c>
      <c r="B8" s="8" t="n">
        <f aca="false">SUMPRODUCT((Data!C2:C266=1)*(((Data!F2:F266&lt;&gt;"")+(Data!N2:N266&lt;&gt;"")+(Data!O2:O266&lt;&gt;""))=2))</f>
        <v>38</v>
      </c>
      <c r="C8" s="9" t="n">
        <f aca="false">IF(SUM(Data!C2:C266)=0,0,B8/SUM(Data!C2:C266))</f>
        <v>0.251655629139073</v>
      </c>
      <c r="D8" s="16"/>
    </row>
    <row r="9" customFormat="false" ht="15" hidden="false" customHeight="false" outlineLevel="0" collapsed="false">
      <c r="A9" s="8" t="s">
        <v>60</v>
      </c>
      <c r="B9" s="8" t="n">
        <f aca="false">SUMPRODUCT((Data!C2:C266=1)*(((Data!F2:F266&lt;&gt;"")+(Data!N2:N266&lt;&gt;"")+(Data!O2:O266&lt;&gt;""))=3))</f>
        <v>19</v>
      </c>
      <c r="C9" s="9" t="n">
        <f aca="false">IF(SUM(Data!C2:C266)=0,0,B9/SUM(Data!C2:C266))</f>
        <v>0.125827814569536</v>
      </c>
      <c r="D9" s="16"/>
    </row>
    <row r="10" customFormat="false" ht="15" hidden="false" customHeight="false" outlineLevel="0" collapsed="false">
      <c r="A10" s="11" t="s">
        <v>61</v>
      </c>
      <c r="B10" s="11" t="n">
        <f aca="false">SUM(B6:B9)</f>
        <v>151</v>
      </c>
    </row>
    <row r="12" customFormat="false" ht="15" hidden="false" customHeight="false" outlineLevel="0" collapsed="false">
      <c r="A12" s="8" t="s">
        <v>62</v>
      </c>
      <c r="B12" s="8" t="n">
        <f aca="false">COUNTIF(Data!E2:E266,"&lt;&gt;")+COUNTIF(Data!F2:F266,"&lt;&gt;")+COUNTIF(Data!G2:G266,"&lt;&gt;")+COUNTIF(Data!H2:H266,"&lt;&gt;")+COUNTIF(Data!I2:I266,"&lt;&gt;")+COUNTIF(Data!J2:J266,"&lt;&gt;")+COUNTIF(Data!K2:K266,"&lt;&gt;")+COUNTIF(Data!L2:L266,"&lt;&gt;")+COUNTIF(Data!M2:M266,"&lt;&gt;")+COUNTIF(Data!N2:N266,"&lt;&gt;")+COUNTIF(Data!O2:O266,"&lt;&gt;")</f>
        <v>227</v>
      </c>
    </row>
    <row r="13" customFormat="false" ht="15" hidden="false" customHeight="false" outlineLevel="0" collapsed="false">
      <c r="A13" s="8" t="s">
        <v>63</v>
      </c>
      <c r="B13" s="17" t="n">
        <f aca="false">B12/SUM(Data!C2:C266)</f>
        <v>1.50331125827815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64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65</v>
      </c>
      <c r="B3" s="7" t="s">
        <v>66</v>
      </c>
      <c r="C3" s="7" t="s">
        <v>67</v>
      </c>
      <c r="D3" s="7" t="s">
        <v>9</v>
      </c>
      <c r="E3" s="7" t="s">
        <v>68</v>
      </c>
      <c r="F3" s="7" t="s">
        <v>33</v>
      </c>
    </row>
    <row r="4" customFormat="false" ht="15" hidden="false" customHeight="false" outlineLevel="0" collapsed="false">
      <c r="A4" s="8" t="s">
        <v>48</v>
      </c>
      <c r="B4" s="8" t="s">
        <v>69</v>
      </c>
      <c r="C4" s="8" t="n">
        <f aca="false">SUM(Data!Q2:Q266)</f>
        <v>151</v>
      </c>
      <c r="D4" s="8" t="n">
        <f aca="false">SUM(Data!C2:C266)</f>
        <v>151</v>
      </c>
      <c r="E4" s="9" t="n">
        <f aca="false">IF(D4=0,0,C4/D4)</f>
        <v>1</v>
      </c>
      <c r="F4" s="10" t="s">
        <v>70</v>
      </c>
    </row>
    <row r="5" customFormat="false" ht="15" hidden="false" customHeight="false" outlineLevel="0" collapsed="false">
      <c r="A5" s="8" t="s">
        <v>38</v>
      </c>
      <c r="B5" s="8" t="s">
        <v>37</v>
      </c>
      <c r="C5" s="8" t="n">
        <f aca="false">SUM(Data!R2:R266)</f>
        <v>19</v>
      </c>
      <c r="D5" s="8" t="n">
        <f aca="false">SUM(Data!C2:C266)</f>
        <v>151</v>
      </c>
      <c r="E5" s="9" t="n">
        <f aca="false">IF(D5=0,0,C5/D5)</f>
        <v>0.125827814569536</v>
      </c>
      <c r="F5" s="10" t="s">
        <v>71</v>
      </c>
    </row>
    <row r="6" customFormat="false" ht="15" hidden="false" customHeight="false" outlineLevel="0" collapsed="false">
      <c r="A6" s="8" t="s">
        <v>72</v>
      </c>
      <c r="B6" s="18" t="s">
        <v>73</v>
      </c>
      <c r="C6" s="8" t="n">
        <v>0</v>
      </c>
      <c r="D6" s="8" t="n">
        <f aca="false">SUM(Data!C2:C266)</f>
        <v>151</v>
      </c>
      <c r="E6" s="9" t="n">
        <v>0</v>
      </c>
      <c r="F6" s="10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75</v>
      </c>
      <c r="B1" s="6"/>
      <c r="C1" s="6"/>
      <c r="D1" s="6"/>
    </row>
    <row r="3" customFormat="false" ht="15" hidden="false" customHeight="false" outlineLevel="0" collapsed="false">
      <c r="A3" s="8" t="s">
        <v>76</v>
      </c>
      <c r="B3" s="8" t="n">
        <f aca="false">COUNTA(Data!A2:A266)</f>
        <v>265</v>
      </c>
      <c r="C3" s="16"/>
      <c r="D3" s="10"/>
    </row>
    <row r="4" customFormat="false" ht="15" hidden="false" customHeight="false" outlineLevel="0" collapsed="false">
      <c r="A4" s="8" t="s">
        <v>77</v>
      </c>
      <c r="B4" s="8" t="n">
        <v>26</v>
      </c>
      <c r="C4" s="16"/>
      <c r="D4" s="10"/>
    </row>
    <row r="5" customFormat="false" ht="15" hidden="false" customHeight="false" outlineLevel="0" collapsed="false">
      <c r="A5" s="8" t="s">
        <v>78</v>
      </c>
      <c r="B5" s="8" t="n">
        <f aca="false">SUM(Data!C2:C266)</f>
        <v>151</v>
      </c>
      <c r="C5" s="16"/>
      <c r="D5" s="10"/>
    </row>
    <row r="6" customFormat="false" ht="15" hidden="false" customHeight="false" outlineLevel="0" collapsed="false">
      <c r="A6" s="8" t="s">
        <v>79</v>
      </c>
      <c r="B6" s="8" t="n">
        <f aca="false">COUNTA(Data!A2:A266)-SUM(Data!C2:C266)</f>
        <v>114</v>
      </c>
      <c r="C6" s="16"/>
      <c r="D6" s="10"/>
    </row>
    <row r="7" customFormat="false" ht="15" hidden="false" customHeight="false" outlineLevel="0" collapsed="false">
      <c r="A7" s="8" t="s">
        <v>80</v>
      </c>
      <c r="B7" s="8" t="n">
        <f aca="false">SUMPRODUCT((Data!C2:C266=1)*(Data!D2:D266=0))</f>
        <v>0</v>
      </c>
      <c r="C7" s="16"/>
      <c r="D7" s="10" t="s">
        <v>81</v>
      </c>
    </row>
    <row r="8" customFormat="false" ht="15" hidden="false" customHeight="false" outlineLevel="0" collapsed="false">
      <c r="A8" s="8" t="s">
        <v>82</v>
      </c>
      <c r="B8" s="19" t="n">
        <f aca="false">IF(SUMPRODUCT((Data!C2:C266=1)*(Data!D2:D266&gt;0))=0,0,SUMIF(Data!C2:C266,1,Data!D2:D266)/SUMPRODUCT((Data!C2:C266=1)*(Data!D2:D266&gt;0)))</f>
        <v>5151.5761589404</v>
      </c>
      <c r="C8" s="16"/>
      <c r="D8" s="10" t="s">
        <v>83</v>
      </c>
    </row>
    <row r="9" customFormat="false" ht="15" hidden="false" customHeight="false" outlineLevel="0" collapsed="false">
      <c r="A9" s="8" t="s">
        <v>84</v>
      </c>
      <c r="B9" s="8" t="n">
        <f aca="false">_xlfn.MINIFS(Data!D2:D266,Data!C2:C266,1,Data!D2:D266,"&gt;0")</f>
        <v>844</v>
      </c>
      <c r="C9" s="16"/>
      <c r="D9" s="10"/>
    </row>
    <row r="10" customFormat="false" ht="15" hidden="false" customHeight="false" outlineLevel="0" collapsed="false">
      <c r="A10" s="8" t="s">
        <v>85</v>
      </c>
      <c r="B10" s="8" t="n">
        <f aca="false">_xlfn.MAXIFS(Data!D2:D266,Data!C2:C266,1)</f>
        <v>12498</v>
      </c>
      <c r="C10" s="16"/>
      <c r="D10" s="10"/>
    </row>
    <row r="12" customFormat="false" ht="15" hidden="false" customHeight="false" outlineLevel="0" collapsed="false">
      <c r="A12" s="20" t="s">
        <v>86</v>
      </c>
      <c r="B12" s="20"/>
      <c r="C12" s="20"/>
      <c r="D12" s="20"/>
    </row>
    <row r="13" customFormat="false" ht="15" hidden="false" customHeight="false" outlineLevel="0" collapsed="false">
      <c r="A13" s="15" t="s">
        <v>87</v>
      </c>
      <c r="B13" s="15" t="s">
        <v>88</v>
      </c>
      <c r="C13" s="15" t="s">
        <v>89</v>
      </c>
      <c r="D13" s="15" t="s">
        <v>90</v>
      </c>
    </row>
    <row r="14" customFormat="false" ht="15" hidden="false" customHeight="false" outlineLevel="0" collapsed="false">
      <c r="A14" s="8" t="s">
        <v>91</v>
      </c>
      <c r="B14" s="8" t="n">
        <f aca="false">COUNTIF(Data!B2:B266,A14)</f>
        <v>11</v>
      </c>
      <c r="C14" s="8" t="n">
        <f aca="false">COUNTIFS(Data!B2:B266,A14,Data!C2:C266,1)</f>
        <v>9</v>
      </c>
      <c r="D14" s="9" t="n">
        <f aca="false">IF(C14=0,0,(COUNTIFS(Data!B2:B266,A14,Data!C2:C266,1,Data!P2:P266,"Yes"))/C14)</f>
        <v>1</v>
      </c>
    </row>
    <row r="15" customFormat="false" ht="15" hidden="false" customHeight="false" outlineLevel="0" collapsed="false">
      <c r="A15" s="8" t="s">
        <v>92</v>
      </c>
      <c r="B15" s="8" t="n">
        <f aca="false">COUNTIF(Data!B2:B266,A15)</f>
        <v>9</v>
      </c>
      <c r="C15" s="8" t="n">
        <f aca="false">COUNTIFS(Data!B2:B266,A15,Data!C2:C266,1)</f>
        <v>7</v>
      </c>
      <c r="D15" s="9" t="n">
        <f aca="false">IF(C15=0,0,(COUNTIFS(Data!B2:B266,A15,Data!C2:C266,1,Data!P2:P266,"Yes"))/C15)</f>
        <v>1</v>
      </c>
    </row>
    <row r="16" customFormat="false" ht="15" hidden="false" customHeight="false" outlineLevel="0" collapsed="false">
      <c r="A16" s="8" t="s">
        <v>93</v>
      </c>
      <c r="B16" s="8" t="n">
        <f aca="false">COUNTIF(Data!B2:B266,A16)</f>
        <v>14</v>
      </c>
      <c r="C16" s="8" t="n">
        <f aca="false">COUNTIFS(Data!B2:B266,A16,Data!C2:C266,1)</f>
        <v>0</v>
      </c>
      <c r="D16" s="9" t="n">
        <f aca="false">IF(C16=0,0,(COUNTIFS(Data!B2:B266,A16,Data!C2:C266,1,Data!P2:P266,"Yes"))/C16)</f>
        <v>0</v>
      </c>
    </row>
    <row r="17" customFormat="false" ht="15" hidden="false" customHeight="false" outlineLevel="0" collapsed="false">
      <c r="A17" s="8" t="s">
        <v>94</v>
      </c>
      <c r="B17" s="8" t="n">
        <f aca="false">COUNTIF(Data!B2:B266,A17)</f>
        <v>12</v>
      </c>
      <c r="C17" s="8" t="n">
        <f aca="false">COUNTIFS(Data!B2:B266,A17,Data!C2:C266,1)</f>
        <v>0</v>
      </c>
      <c r="D17" s="9" t="n">
        <f aca="false">IF(C17=0,0,(COUNTIFS(Data!B2:B266,A17,Data!C2:C266,1,Data!P2:P266,"Yes"))/C17)</f>
        <v>0</v>
      </c>
    </row>
    <row r="18" customFormat="false" ht="15" hidden="false" customHeight="false" outlineLevel="0" collapsed="false">
      <c r="A18" s="8" t="s">
        <v>95</v>
      </c>
      <c r="B18" s="8" t="n">
        <f aca="false">COUNTIF(Data!B2:B266,A18)</f>
        <v>9</v>
      </c>
      <c r="C18" s="8" t="n">
        <f aca="false">COUNTIFS(Data!B2:B266,A18,Data!C2:C266,1)</f>
        <v>7</v>
      </c>
      <c r="D18" s="9" t="n">
        <f aca="false">IF(C18=0,0,(COUNTIFS(Data!B2:B266,A18,Data!C2:C266,1,Data!P2:P266,"Yes"))/C18)</f>
        <v>1</v>
      </c>
    </row>
    <row r="19" customFormat="false" ht="15" hidden="false" customHeight="false" outlineLevel="0" collapsed="false">
      <c r="A19" s="8" t="s">
        <v>96</v>
      </c>
      <c r="B19" s="8" t="n">
        <f aca="false">COUNTIF(Data!B2:B266,A19)</f>
        <v>8</v>
      </c>
      <c r="C19" s="8" t="n">
        <f aca="false">COUNTIFS(Data!B2:B266,A19,Data!C2:C266,1)</f>
        <v>6</v>
      </c>
      <c r="D19" s="9" t="n">
        <f aca="false">IF(C19=0,0,(COUNTIFS(Data!B2:B266,A19,Data!C2:C266,1,Data!P2:P266,"Yes"))/C19)</f>
        <v>1</v>
      </c>
    </row>
    <row r="20" customFormat="false" ht="15" hidden="false" customHeight="false" outlineLevel="0" collapsed="false">
      <c r="A20" s="8" t="s">
        <v>97</v>
      </c>
      <c r="B20" s="8" t="n">
        <f aca="false">COUNTIF(Data!B2:B266,A20)</f>
        <v>16</v>
      </c>
      <c r="C20" s="8" t="n">
        <f aca="false">COUNTIFS(Data!B2:B266,A20,Data!C2:C266,1)</f>
        <v>0</v>
      </c>
      <c r="D20" s="9" t="n">
        <f aca="false">IF(C20=0,0,(COUNTIFS(Data!B2:B266,A20,Data!C2:C266,1,Data!P2:P266,"Yes"))/C20)</f>
        <v>0</v>
      </c>
    </row>
    <row r="21" customFormat="false" ht="15" hidden="false" customHeight="false" outlineLevel="0" collapsed="false">
      <c r="A21" s="8" t="s">
        <v>98</v>
      </c>
      <c r="B21" s="8" t="n">
        <f aca="false">COUNTIF(Data!B2:B266,A21)</f>
        <v>9</v>
      </c>
      <c r="C21" s="8" t="n">
        <f aca="false">COUNTIFS(Data!B2:B266,A21,Data!C2:C266,1)</f>
        <v>7</v>
      </c>
      <c r="D21" s="9" t="n">
        <f aca="false">IF(C21=0,0,(COUNTIFS(Data!B2:B266,A21,Data!C2:C266,1,Data!P2:P266,"Yes"))/C21)</f>
        <v>1</v>
      </c>
    </row>
    <row r="22" customFormat="false" ht="15" hidden="false" customHeight="false" outlineLevel="0" collapsed="false">
      <c r="A22" s="8" t="s">
        <v>99</v>
      </c>
      <c r="B22" s="8" t="n">
        <f aca="false">COUNTIF(Data!B2:B266,A22)</f>
        <v>9</v>
      </c>
      <c r="C22" s="8" t="n">
        <f aca="false">COUNTIFS(Data!B2:B266,A22,Data!C2:C266,1)</f>
        <v>7</v>
      </c>
      <c r="D22" s="9" t="n">
        <f aca="false">IF(C22=0,0,(COUNTIFS(Data!B2:B266,A22,Data!C2:C266,1,Data!P2:P266,"Yes"))/C22)</f>
        <v>1</v>
      </c>
    </row>
    <row r="23" customFormat="false" ht="15" hidden="false" customHeight="false" outlineLevel="0" collapsed="false">
      <c r="A23" s="8" t="s">
        <v>100</v>
      </c>
      <c r="B23" s="8" t="n">
        <f aca="false">COUNTIF(Data!B2:B266,A23)</f>
        <v>11</v>
      </c>
      <c r="C23" s="8" t="n">
        <f aca="false">COUNTIFS(Data!B2:B266,A23,Data!C2:C266,1)</f>
        <v>9</v>
      </c>
      <c r="D23" s="9" t="n">
        <f aca="false">IF(C23=0,0,(COUNTIFS(Data!B2:B266,A23,Data!C2:C266,1,Data!P2:P266,"Yes"))/C23)</f>
        <v>1</v>
      </c>
    </row>
    <row r="24" customFormat="false" ht="15" hidden="false" customHeight="false" outlineLevel="0" collapsed="false">
      <c r="A24" s="8" t="s">
        <v>101</v>
      </c>
      <c r="B24" s="8" t="n">
        <f aca="false">COUNTIF(Data!B2:B266,A24)</f>
        <v>8</v>
      </c>
      <c r="C24" s="8" t="n">
        <f aca="false">COUNTIFS(Data!B2:B266,A24,Data!C2:C266,1)</f>
        <v>7</v>
      </c>
      <c r="D24" s="9" t="n">
        <f aca="false">IF(C24=0,0,(COUNTIFS(Data!B2:B266,A24,Data!C2:C266,1,Data!P2:P266,"Yes"))/C24)</f>
        <v>1</v>
      </c>
    </row>
    <row r="25" customFormat="false" ht="15" hidden="false" customHeight="false" outlineLevel="0" collapsed="false">
      <c r="A25" s="8" t="s">
        <v>102</v>
      </c>
      <c r="B25" s="8" t="n">
        <f aca="false">COUNTIF(Data!B2:B266,A25)</f>
        <v>7</v>
      </c>
      <c r="C25" s="8" t="n">
        <f aca="false">COUNTIFS(Data!B2:B266,A25,Data!C2:C266,1)</f>
        <v>0</v>
      </c>
      <c r="D25" s="9" t="n">
        <f aca="false">IF(C25=0,0,(COUNTIFS(Data!B2:B266,A25,Data!C2:C266,1,Data!P2:P266,"Yes"))/C25)</f>
        <v>0</v>
      </c>
    </row>
    <row r="26" customFormat="false" ht="15" hidden="false" customHeight="false" outlineLevel="0" collapsed="false">
      <c r="A26" s="8" t="s">
        <v>103</v>
      </c>
      <c r="B26" s="8" t="n">
        <f aca="false">COUNTIF(Data!B2:B266,A26)</f>
        <v>13</v>
      </c>
      <c r="C26" s="8" t="n">
        <f aca="false">COUNTIFS(Data!B2:B266,A26,Data!C2:C266,1)</f>
        <v>9</v>
      </c>
      <c r="D26" s="9" t="n">
        <f aca="false">IF(C26=0,0,(COUNTIFS(Data!B2:B266,A26,Data!C2:C266,1,Data!P2:P266,"Yes"))/C26)</f>
        <v>1</v>
      </c>
    </row>
    <row r="27" customFormat="false" ht="15" hidden="false" customHeight="false" outlineLevel="0" collapsed="false">
      <c r="A27" s="8" t="s">
        <v>104</v>
      </c>
      <c r="B27" s="8" t="n">
        <f aca="false">COUNTIF(Data!B2:B266,A27)</f>
        <v>11</v>
      </c>
      <c r="C27" s="8" t="n">
        <f aca="false">COUNTIFS(Data!B2:B266,A27,Data!C2:C266,1)</f>
        <v>7</v>
      </c>
      <c r="D27" s="9" t="n">
        <f aca="false">IF(C27=0,0,(COUNTIFS(Data!B2:B266,A27,Data!C2:C266,1,Data!P2:P266,"Yes"))/C27)</f>
        <v>1</v>
      </c>
    </row>
    <row r="28" customFormat="false" ht="15" hidden="false" customHeight="false" outlineLevel="0" collapsed="false">
      <c r="A28" s="8" t="s">
        <v>105</v>
      </c>
      <c r="B28" s="8" t="n">
        <f aca="false">COUNTIF(Data!B2:B266,A28)</f>
        <v>9</v>
      </c>
      <c r="C28" s="8" t="n">
        <f aca="false">COUNTIFS(Data!B2:B266,A28,Data!C2:C266,1)</f>
        <v>7</v>
      </c>
      <c r="D28" s="9" t="n">
        <f aca="false">IF(C28=0,0,(COUNTIFS(Data!B2:B266,A28,Data!C2:C266,1,Data!P2:P266,"Yes"))/C28)</f>
        <v>1</v>
      </c>
    </row>
    <row r="29" customFormat="false" ht="15" hidden="false" customHeight="false" outlineLevel="0" collapsed="false">
      <c r="A29" s="8" t="s">
        <v>106</v>
      </c>
      <c r="B29" s="8" t="n">
        <f aca="false">COUNTIF(Data!B2:B266,A29)</f>
        <v>12</v>
      </c>
      <c r="C29" s="8" t="n">
        <f aca="false">COUNTIFS(Data!B2:B266,A29,Data!C2:C266,1)</f>
        <v>0</v>
      </c>
      <c r="D29" s="9" t="n">
        <f aca="false">IF(C29=0,0,(COUNTIFS(Data!B2:B266,A29,Data!C2:C266,1,Data!P2:P266,"Yes"))/C29)</f>
        <v>0</v>
      </c>
    </row>
    <row r="30" customFormat="false" ht="15" hidden="false" customHeight="false" outlineLevel="0" collapsed="false">
      <c r="A30" s="8" t="s">
        <v>107</v>
      </c>
      <c r="B30" s="8" t="n">
        <f aca="false">COUNTIF(Data!B2:B266,A30)</f>
        <v>11</v>
      </c>
      <c r="C30" s="8" t="n">
        <f aca="false">COUNTIFS(Data!B2:B266,A30,Data!C2:C266,1)</f>
        <v>9</v>
      </c>
      <c r="D30" s="9" t="n">
        <f aca="false">IF(C30=0,0,(COUNTIFS(Data!B2:B266,A30,Data!C2:C266,1,Data!P2:P266,"Yes"))/C30)</f>
        <v>1</v>
      </c>
    </row>
    <row r="31" customFormat="false" ht="15" hidden="false" customHeight="false" outlineLevel="0" collapsed="false">
      <c r="A31" s="8" t="s">
        <v>108</v>
      </c>
      <c r="B31" s="8" t="n">
        <f aca="false">COUNTIF(Data!B2:B266,A31)</f>
        <v>9</v>
      </c>
      <c r="C31" s="8" t="n">
        <f aca="false">COUNTIFS(Data!B2:B266,A31,Data!C2:C266,1)</f>
        <v>7</v>
      </c>
      <c r="D31" s="9" t="n">
        <f aca="false">IF(C31=0,0,(COUNTIFS(Data!B2:B266,A31,Data!C2:C266,1,Data!P2:P266,"Yes"))/C31)</f>
        <v>1</v>
      </c>
    </row>
    <row r="32" customFormat="false" ht="15" hidden="false" customHeight="false" outlineLevel="0" collapsed="false">
      <c r="A32" s="8" t="s">
        <v>109</v>
      </c>
      <c r="B32" s="8" t="n">
        <f aca="false">COUNTIF(Data!B2:B266,A32)</f>
        <v>11</v>
      </c>
      <c r="C32" s="8" t="n">
        <f aca="false">COUNTIFS(Data!B2:B266,A32,Data!C2:C266,1)</f>
        <v>9</v>
      </c>
      <c r="D32" s="9" t="n">
        <f aca="false">IF(C32=0,0,(COUNTIFS(Data!B2:B266,A32,Data!C2:C266,1,Data!P2:P266,"Yes"))/C32)</f>
        <v>1</v>
      </c>
    </row>
    <row r="33" customFormat="false" ht="15" hidden="false" customHeight="false" outlineLevel="0" collapsed="false">
      <c r="A33" s="8" t="s">
        <v>110</v>
      </c>
      <c r="B33" s="8" t="n">
        <f aca="false">COUNTIF(Data!B2:B266,A33)</f>
        <v>11</v>
      </c>
      <c r="C33" s="8" t="n">
        <f aca="false">COUNTIFS(Data!B2:B266,A33,Data!C2:C266,1)</f>
        <v>9</v>
      </c>
      <c r="D33" s="9" t="n">
        <f aca="false">IF(C33=0,0,(COUNTIFS(Data!B2:B266,A33,Data!C2:C266,1,Data!P2:P266,"Yes"))/C33)</f>
        <v>1</v>
      </c>
    </row>
    <row r="34" customFormat="false" ht="15" hidden="false" customHeight="false" outlineLevel="0" collapsed="false">
      <c r="A34" s="8" t="s">
        <v>111</v>
      </c>
      <c r="B34" s="8" t="n">
        <f aca="false">COUNTIF(Data!B2:B266,A34)</f>
        <v>12</v>
      </c>
      <c r="C34" s="8" t="n">
        <f aca="false">COUNTIFS(Data!B2:B266,A34,Data!C2:C266,1)</f>
        <v>0</v>
      </c>
      <c r="D34" s="9" t="n">
        <f aca="false">IF(C34=0,0,(COUNTIFS(Data!B2:B266,A34,Data!C2:C266,1,Data!P2:P266,"Yes"))/C34)</f>
        <v>0</v>
      </c>
    </row>
    <row r="35" customFormat="false" ht="15" hidden="false" customHeight="false" outlineLevel="0" collapsed="false">
      <c r="A35" s="8" t="s">
        <v>112</v>
      </c>
      <c r="B35" s="8" t="n">
        <f aca="false">COUNTIF(Data!B2:B266,A35)</f>
        <v>9</v>
      </c>
      <c r="C35" s="8" t="n">
        <f aca="false">COUNTIFS(Data!B2:B266,A35,Data!C2:C266,1)</f>
        <v>7</v>
      </c>
      <c r="D35" s="9" t="n">
        <f aca="false">IF(C35=0,0,(COUNTIFS(Data!B2:B266,A35,Data!C2:C266,1,Data!P2:P266,"Yes"))/C35)</f>
        <v>1</v>
      </c>
    </row>
    <row r="36" customFormat="false" ht="15" hidden="false" customHeight="false" outlineLevel="0" collapsed="false">
      <c r="A36" s="8" t="s">
        <v>113</v>
      </c>
      <c r="B36" s="8" t="n">
        <f aca="false">COUNTIF(Data!B2:B266,A36)</f>
        <v>11</v>
      </c>
      <c r="C36" s="8" t="n">
        <f aca="false">COUNTIFS(Data!B2:B266,A36,Data!C2:C266,1)</f>
        <v>9</v>
      </c>
      <c r="D36" s="9" t="n">
        <f aca="false">IF(C36=0,0,(COUNTIFS(Data!B2:B266,A36,Data!C2:C266,1,Data!P2:P266,"Yes"))/C36)</f>
        <v>1</v>
      </c>
    </row>
    <row r="37" customFormat="false" ht="15" hidden="false" customHeight="false" outlineLevel="0" collapsed="false">
      <c r="A37" s="8" t="s">
        <v>114</v>
      </c>
      <c r="B37" s="8" t="n">
        <f aca="false">COUNTIF(Data!B2:B266,A37)</f>
        <v>9</v>
      </c>
      <c r="C37" s="8" t="n">
        <f aca="false">COUNTIFS(Data!B2:B266,A37,Data!C2:C266,1)</f>
        <v>7</v>
      </c>
      <c r="D37" s="9" t="n">
        <f aca="false">IF(C37=0,0,(COUNTIFS(Data!B2:B266,A37,Data!C2:C266,1,Data!P2:P266,"Yes"))/C37)</f>
        <v>1</v>
      </c>
    </row>
    <row r="38" customFormat="false" ht="15" hidden="false" customHeight="false" outlineLevel="0" collapsed="false">
      <c r="A38" s="8" t="s">
        <v>115</v>
      </c>
      <c r="B38" s="8" t="n">
        <f aca="false">COUNTIF(Data!B2:B266,A38)</f>
        <v>7</v>
      </c>
      <c r="C38" s="8" t="n">
        <f aca="false">COUNTIFS(Data!B2:B266,A38,Data!C2:C266,1)</f>
        <v>6</v>
      </c>
      <c r="D38" s="9" t="n">
        <f aca="false">IF(C38=0,0,(COUNTIFS(Data!B2:B266,A38,Data!C2:C266,1,Data!P2:P266,"Yes"))/C38)</f>
        <v>1</v>
      </c>
    </row>
    <row r="39" customFormat="false" ht="15" hidden="false" customHeight="false" outlineLevel="0" collapsed="false">
      <c r="A39" s="8" t="s">
        <v>116</v>
      </c>
      <c r="B39" s="8" t="n">
        <f aca="false">COUNTIF(Data!B2:B266,A39)</f>
        <v>7</v>
      </c>
      <c r="C39" s="8" t="n">
        <f aca="false">COUNTIFS(Data!B2:B266,A39,Data!C2:C266,1)</f>
        <v>6</v>
      </c>
      <c r="D39" s="9" t="n">
        <f aca="false">IF(C39=0,0,(COUNTIFS(Data!B2:B266,A39,Data!C2:C266,1,Data!P2:P266,"Yes"))/C39)</f>
        <v>1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117</v>
      </c>
      <c r="B1" s="6"/>
      <c r="C1" s="6"/>
      <c r="D1" s="6"/>
    </row>
    <row r="2" customFormat="false" ht="15" hidden="false" customHeight="false" outlineLevel="0" collapsed="false">
      <c r="A2" s="14" t="s">
        <v>118</v>
      </c>
      <c r="B2" s="14"/>
      <c r="C2" s="14"/>
      <c r="D2" s="14"/>
    </row>
    <row r="4" customFormat="false" ht="15" hidden="false" customHeight="false" outlineLevel="0" collapsed="false">
      <c r="A4" s="15" t="s">
        <v>119</v>
      </c>
      <c r="B4" s="15" t="s">
        <v>120</v>
      </c>
      <c r="C4" s="15" t="s">
        <v>56</v>
      </c>
      <c r="D4" s="15" t="s">
        <v>121</v>
      </c>
    </row>
    <row r="5" customFormat="false" ht="15" hidden="false" customHeight="false" outlineLevel="0" collapsed="false">
      <c r="A5" s="8" t="s">
        <v>122</v>
      </c>
      <c r="B5" s="8" t="n">
        <f aca="false">SUMPRODUCT((Data!C2:C266=1)*(Data!Q2:Q266=1)*(Data!R2:R266=1))</f>
        <v>19</v>
      </c>
      <c r="C5" s="9" t="n">
        <f aca="false">IF(SUM(Data!C2:C266)=0,0,B5/SUM(Data!C2:C266))</f>
        <v>0.125827814569536</v>
      </c>
      <c r="D5" s="10" t="s">
        <v>123</v>
      </c>
    </row>
    <row r="6" customFormat="false" ht="15" hidden="false" customHeight="false" outlineLevel="0" collapsed="false">
      <c r="A6" s="8" t="s">
        <v>124</v>
      </c>
      <c r="B6" s="8" t="n">
        <f aca="false">SUMPRODUCT((Data!C2:C266=1)*(Data!Q2:Q266=1)*(Data!R2:R266=0))</f>
        <v>132</v>
      </c>
      <c r="C6" s="9" t="n">
        <f aca="false">IF(SUM(Data!C2:C266)=0,0,B6/SUM(Data!C2:C266))</f>
        <v>0.874172185430464</v>
      </c>
      <c r="D6" s="10" t="s">
        <v>125</v>
      </c>
    </row>
    <row r="7" customFormat="false" ht="15" hidden="false" customHeight="false" outlineLevel="0" collapsed="false">
      <c r="A7" s="8" t="s">
        <v>126</v>
      </c>
      <c r="B7" s="8" t="n">
        <f aca="false">SUMPRODUCT((Data!C2:C266=1)*(Data!Q2:Q266=0)*(Data!R2:R266=1))</f>
        <v>0</v>
      </c>
      <c r="C7" s="9" t="n">
        <f aca="false">IF(SUM(Data!C2:C266)=0,0,B7/SUM(Data!C2:C266))</f>
        <v>0</v>
      </c>
      <c r="D7" s="10" t="s">
        <v>127</v>
      </c>
    </row>
    <row r="8" customFormat="false" ht="15" hidden="false" customHeight="false" outlineLevel="0" collapsed="false">
      <c r="A8" s="8" t="s">
        <v>128</v>
      </c>
      <c r="B8" s="8" t="n">
        <f aca="false">SUMPRODUCT((Data!C2:C266=1)*(Data!Q2:Q266=0)*(Data!R2:R266=0))</f>
        <v>0</v>
      </c>
      <c r="C8" s="9" t="n">
        <f aca="false">IF(SUM(Data!C2:C266)=0,0,B8/SUM(Data!C2:C266))</f>
        <v>0</v>
      </c>
      <c r="D8" s="10" t="s">
        <v>129</v>
      </c>
    </row>
    <row r="10" customFormat="false" ht="15" hidden="false" customHeight="false" outlineLevel="0" collapsed="false">
      <c r="A10" s="21" t="s">
        <v>130</v>
      </c>
      <c r="B10" s="21" t="n">
        <f aca="false">B5+B6+B7</f>
        <v>151</v>
      </c>
    </row>
    <row r="11" customFormat="false" ht="15" hidden="false" customHeight="false" outlineLevel="0" collapsed="false">
      <c r="A11" s="11" t="s">
        <v>131</v>
      </c>
      <c r="B11" s="22" t="n">
        <f aca="false">IF(B10=0,0,B5/B10)</f>
        <v>0.125827814569536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132</v>
      </c>
    </row>
    <row r="3" customFormat="false" ht="30" hidden="false" customHeight="true" outlineLevel="0" collapsed="false">
      <c r="A3" s="3" t="str">
        <f aca="false">"1. Bytecode resolution: "&amp;SUM(Data!C2:C266)&amp;" of "&amp;COUNTA(Data!A2:A266)&amp;" queried addresses ("&amp;TEXT(SUM(Data!C2:C266)/COUNTA(Data!A2:A266),"0.0%")&amp;") resolved to deployed bytecode; the rest are EOAs, unverified, or not found on-chain."</f>
        <v>1. Bytecode resolution: 151 of 265 queried addresses (57.0%) resolved to deployed bytecode; the rest are EOAs, unverified, or not found on-chain.</v>
      </c>
    </row>
    <row r="4" customFormat="false" ht="30" hidden="false" customHeight="true" outlineLevel="0" collapsed="false">
      <c r="A4" s="3" t="str">
        <f aca="false">"2. Detection coverage: only MAIAN and Mythril produced any detections. Reentrancy, Access Control, Delegatecall, Unchecked Call, Timestamp, TOD, DoS, Selfdestruct all show zero hits in this bytecode run."</f>
        <v>2. Detection coverage: only MAIAN and Mythril produced any detections. Reentrancy, Access Control, Delegatecall, Unchecked Call, Timestamp, TOD, DoS, Selfdestruct all show zero hits in this bytecode run.</v>
      </c>
    </row>
    <row r="5" customFormat="false" ht="30" hidden="false" customHeight="true" outlineLevel="0" collapsed="false">
      <c r="A5" s="3" t="str">
        <f aca="false">"3. Mythril flag rate ("&amp;TEXT(Tool_Wise_Analysis!E5,"0.0%")&amp;") vs MAIAN flag rate ("&amp;TEXT(Tool_Wise_Analysis!E4,"0.0%")&amp;") among resolved contracts."</f>
        <v>3. Mythril flag rate (12.6%) vs MAIAN flag rate (100.0%) among resolved contracts.</v>
      </c>
    </row>
    <row r="6" customFormat="false" ht="30" hidden="false" customHeight="true" outlineLevel="0" collapsed="false">
      <c r="A6" s="3" t="str">
        <f aca="false">"4. Tool overlap: Jaccard(MAIAN, Mythril) = "&amp;TEXT(Agreement_Jaccard!B11,"0.0000")&amp;" — "&amp;Agreement_Jaccard!B5&amp;" contracts triggered both tools, "&amp;Agreement_Jaccard!B6&amp;" only MAIAN, "&amp;Agreement_Jaccard!B7&amp;" only Mythril."</f>
        <v>4. Tool overlap: Jaccard(MAIAN, Mythril) = 0.1258 — 19 contracts triggered both tools, 132 only MAIAN, 0 only Mythril.</v>
      </c>
    </row>
    <row r="7" customFormat="false" ht="30" hidden="false" customHeight="true" outlineLevel="0" collapsed="false">
      <c r="A7" s="3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151 of 151 resolved contracts (100.0%)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5" min="5" style="0" width="12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5" hidden="false" customHeight="false" outlineLevel="0" collapsed="false">
      <c r="A1" s="15" t="s">
        <v>133</v>
      </c>
      <c r="B1" s="15" t="s">
        <v>87</v>
      </c>
      <c r="C1" s="15" t="s">
        <v>134</v>
      </c>
      <c r="D1" s="15" t="s">
        <v>135</v>
      </c>
      <c r="E1" s="15" t="s">
        <v>34</v>
      </c>
      <c r="F1" s="15" t="s">
        <v>37</v>
      </c>
      <c r="G1" s="15" t="s">
        <v>136</v>
      </c>
      <c r="H1" s="15" t="s">
        <v>41</v>
      </c>
      <c r="I1" s="15" t="s">
        <v>137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138</v>
      </c>
      <c r="O1" s="15" t="s">
        <v>139</v>
      </c>
      <c r="P1" s="15" t="s">
        <v>140</v>
      </c>
      <c r="Q1" s="15" t="s">
        <v>141</v>
      </c>
      <c r="R1" s="15" t="s">
        <v>142</v>
      </c>
    </row>
    <row r="2" customFormat="false" ht="15" hidden="false" customHeight="false" outlineLevel="0" collapsed="false">
      <c r="A2" s="8" t="s">
        <v>143</v>
      </c>
      <c r="B2" s="8" t="s">
        <v>92</v>
      </c>
      <c r="C2" s="8" t="n">
        <v>1</v>
      </c>
      <c r="D2" s="8" t="n">
        <v>6330</v>
      </c>
      <c r="E2" s="8"/>
      <c r="F2" s="8"/>
      <c r="G2" s="8"/>
      <c r="H2" s="8"/>
      <c r="I2" s="8"/>
      <c r="J2" s="8"/>
      <c r="K2" s="8"/>
      <c r="L2" s="8"/>
      <c r="M2" s="8"/>
      <c r="N2" s="8"/>
      <c r="O2" s="8" t="s">
        <v>48</v>
      </c>
      <c r="P2" s="8" t="s">
        <v>144</v>
      </c>
      <c r="Q2" s="8" t="n">
        <v>1</v>
      </c>
      <c r="R2" s="8" t="n">
        <v>0</v>
      </c>
    </row>
    <row r="3" customFormat="false" ht="15" hidden="false" customHeight="false" outlineLevel="0" collapsed="false">
      <c r="A3" s="8" t="s">
        <v>145</v>
      </c>
      <c r="B3" s="8" t="s">
        <v>92</v>
      </c>
      <c r="C3" s="8" t="n">
        <v>1</v>
      </c>
      <c r="D3" s="8" t="n">
        <v>12498</v>
      </c>
      <c r="E3" s="8"/>
      <c r="F3" s="8" t="s">
        <v>38</v>
      </c>
      <c r="G3" s="8"/>
      <c r="H3" s="8"/>
      <c r="I3" s="8"/>
      <c r="J3" s="8"/>
      <c r="K3" s="8"/>
      <c r="L3" s="8"/>
      <c r="M3" s="8"/>
      <c r="N3" s="8" t="s">
        <v>48</v>
      </c>
      <c r="O3" s="8" t="s">
        <v>48</v>
      </c>
      <c r="P3" s="8" t="s">
        <v>144</v>
      </c>
      <c r="Q3" s="8" t="n">
        <v>1</v>
      </c>
      <c r="R3" s="8" t="n">
        <v>1</v>
      </c>
    </row>
    <row r="4" customFormat="false" ht="15" hidden="false" customHeight="false" outlineLevel="0" collapsed="false">
      <c r="A4" s="8" t="s">
        <v>146</v>
      </c>
      <c r="B4" s="8" t="s">
        <v>92</v>
      </c>
      <c r="C4" s="8" t="n">
        <v>1</v>
      </c>
      <c r="D4" s="8" t="n">
        <v>5778</v>
      </c>
      <c r="E4" s="8"/>
      <c r="F4" s="8"/>
      <c r="G4" s="8"/>
      <c r="H4" s="8"/>
      <c r="I4" s="8"/>
      <c r="J4" s="8"/>
      <c r="K4" s="8"/>
      <c r="L4" s="8"/>
      <c r="M4" s="8"/>
      <c r="N4" s="8" t="s">
        <v>48</v>
      </c>
      <c r="O4" s="8" t="s">
        <v>48</v>
      </c>
      <c r="P4" s="8" t="s">
        <v>144</v>
      </c>
      <c r="Q4" s="8" t="n">
        <v>1</v>
      </c>
      <c r="R4" s="8" t="n">
        <v>0</v>
      </c>
    </row>
    <row r="5" customFormat="false" ht="15" hidden="false" customHeight="false" outlineLevel="0" collapsed="false">
      <c r="A5" s="8" t="s">
        <v>147</v>
      </c>
      <c r="B5" s="8" t="s">
        <v>92</v>
      </c>
      <c r="C5" s="8" t="n">
        <v>1</v>
      </c>
      <c r="D5" s="8" t="n">
        <v>844</v>
      </c>
      <c r="E5" s="8"/>
      <c r="F5" s="8"/>
      <c r="G5" s="8"/>
      <c r="H5" s="8"/>
      <c r="I5" s="8"/>
      <c r="J5" s="8"/>
      <c r="K5" s="8"/>
      <c r="L5" s="8"/>
      <c r="M5" s="8"/>
      <c r="N5" s="8" t="s">
        <v>48</v>
      </c>
      <c r="O5" s="8"/>
      <c r="P5" s="8" t="s">
        <v>144</v>
      </c>
      <c r="Q5" s="8" t="n">
        <v>1</v>
      </c>
      <c r="R5" s="8" t="n">
        <v>0</v>
      </c>
    </row>
    <row r="6" customFormat="false" ht="15" hidden="false" customHeight="false" outlineLevel="0" collapsed="false">
      <c r="A6" s="8" t="s">
        <v>148</v>
      </c>
      <c r="B6" s="8" t="s">
        <v>92</v>
      </c>
      <c r="C6" s="8" t="n">
        <v>1</v>
      </c>
      <c r="D6" s="8" t="n">
        <v>2890</v>
      </c>
      <c r="E6" s="8"/>
      <c r="F6" s="8"/>
      <c r="G6" s="8"/>
      <c r="H6" s="8"/>
      <c r="I6" s="8"/>
      <c r="J6" s="8"/>
      <c r="K6" s="8"/>
      <c r="L6" s="8"/>
      <c r="M6" s="8"/>
      <c r="N6" s="8"/>
      <c r="O6" s="8" t="s">
        <v>48</v>
      </c>
      <c r="P6" s="8" t="s">
        <v>144</v>
      </c>
      <c r="Q6" s="8" t="n">
        <v>1</v>
      </c>
      <c r="R6" s="8" t="n">
        <v>0</v>
      </c>
    </row>
    <row r="7" customFormat="false" ht="15" hidden="false" customHeight="false" outlineLevel="0" collapsed="false">
      <c r="A7" s="8" t="s">
        <v>149</v>
      </c>
      <c r="B7" s="8" t="s">
        <v>92</v>
      </c>
      <c r="C7" s="8" t="n">
        <v>1</v>
      </c>
      <c r="D7" s="8" t="n">
        <v>844</v>
      </c>
      <c r="E7" s="8"/>
      <c r="F7" s="8"/>
      <c r="G7" s="8"/>
      <c r="H7" s="8"/>
      <c r="I7" s="8"/>
      <c r="J7" s="8"/>
      <c r="K7" s="8"/>
      <c r="L7" s="8"/>
      <c r="M7" s="8"/>
      <c r="N7" s="8" t="s">
        <v>48</v>
      </c>
      <c r="O7" s="8"/>
      <c r="P7" s="8" t="s">
        <v>144</v>
      </c>
      <c r="Q7" s="8" t="n">
        <v>1</v>
      </c>
      <c r="R7" s="8" t="n">
        <v>0</v>
      </c>
    </row>
    <row r="8" customFormat="false" ht="15" hidden="false" customHeight="false" outlineLevel="0" collapsed="false">
      <c r="A8" s="8" t="s">
        <v>150</v>
      </c>
      <c r="B8" s="8" t="s">
        <v>92</v>
      </c>
      <c r="C8" s="8" t="n">
        <v>1</v>
      </c>
      <c r="D8" s="8" t="n">
        <v>8060</v>
      </c>
      <c r="E8" s="8"/>
      <c r="F8" s="8"/>
      <c r="G8" s="8"/>
      <c r="H8" s="8"/>
      <c r="I8" s="8"/>
      <c r="J8" s="8"/>
      <c r="K8" s="8"/>
      <c r="L8" s="8"/>
      <c r="M8" s="8"/>
      <c r="N8" s="8" t="s">
        <v>48</v>
      </c>
      <c r="O8" s="8" t="s">
        <v>48</v>
      </c>
      <c r="P8" s="8" t="s">
        <v>144</v>
      </c>
      <c r="Q8" s="8" t="n">
        <v>1</v>
      </c>
      <c r="R8" s="8" t="n">
        <v>0</v>
      </c>
    </row>
    <row r="9" customFormat="false" ht="15" hidden="false" customHeight="false" outlineLevel="0" collapsed="false">
      <c r="A9" s="8" t="s">
        <v>151</v>
      </c>
      <c r="B9" s="8" t="s">
        <v>92</v>
      </c>
      <c r="C9" s="8" t="n">
        <v>0</v>
      </c>
      <c r="D9" s="8" t="n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152</v>
      </c>
      <c r="Q9" s="8" t="n">
        <v>0</v>
      </c>
      <c r="R9" s="8" t="n">
        <v>0</v>
      </c>
    </row>
    <row r="10" customFormat="false" ht="15" hidden="false" customHeight="false" outlineLevel="0" collapsed="false">
      <c r="A10" s="8" t="s">
        <v>153</v>
      </c>
      <c r="B10" s="8" t="s">
        <v>92</v>
      </c>
      <c r="C10" s="8" t="n">
        <v>0</v>
      </c>
      <c r="D10" s="8" t="n">
        <v>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152</v>
      </c>
      <c r="Q10" s="8" t="n">
        <v>0</v>
      </c>
      <c r="R10" s="8" t="n">
        <v>0</v>
      </c>
    </row>
    <row r="11" customFormat="false" ht="15" hidden="false" customHeight="false" outlineLevel="0" collapsed="false">
      <c r="A11" s="8" t="s">
        <v>154</v>
      </c>
      <c r="B11" s="8" t="s">
        <v>91</v>
      </c>
      <c r="C11" s="8" t="n">
        <v>1</v>
      </c>
      <c r="D11" s="8" t="n">
        <v>5676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48</v>
      </c>
      <c r="P11" s="8" t="s">
        <v>144</v>
      </c>
      <c r="Q11" s="8" t="n">
        <v>1</v>
      </c>
      <c r="R11" s="8" t="n">
        <v>0</v>
      </c>
    </row>
    <row r="12" customFormat="false" ht="15" hidden="false" customHeight="false" outlineLevel="0" collapsed="false">
      <c r="A12" s="8" t="s">
        <v>155</v>
      </c>
      <c r="B12" s="8" t="s">
        <v>91</v>
      </c>
      <c r="C12" s="8" t="n">
        <v>0</v>
      </c>
      <c r="D12" s="8" t="n"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152</v>
      </c>
      <c r="Q12" s="8" t="n">
        <v>0</v>
      </c>
      <c r="R12" s="8" t="n">
        <v>0</v>
      </c>
    </row>
    <row r="13" customFormat="false" ht="15" hidden="false" customHeight="false" outlineLevel="0" collapsed="false">
      <c r="A13" s="8" t="s">
        <v>156</v>
      </c>
      <c r="B13" s="8" t="s">
        <v>91</v>
      </c>
      <c r="C13" s="8" t="n">
        <v>1</v>
      </c>
      <c r="D13" s="8" t="n">
        <v>6330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 t="s">
        <v>48</v>
      </c>
      <c r="P13" s="8" t="s">
        <v>144</v>
      </c>
      <c r="Q13" s="8" t="n">
        <v>1</v>
      </c>
      <c r="R13" s="8" t="n">
        <v>0</v>
      </c>
    </row>
    <row r="14" customFormat="false" ht="15" hidden="false" customHeight="false" outlineLevel="0" collapsed="false">
      <c r="A14" s="8" t="s">
        <v>157</v>
      </c>
      <c r="B14" s="8" t="s">
        <v>91</v>
      </c>
      <c r="C14" s="8" t="n">
        <v>1</v>
      </c>
      <c r="D14" s="8" t="n">
        <v>12498</v>
      </c>
      <c r="E14" s="8"/>
      <c r="F14" s="8" t="s">
        <v>38</v>
      </c>
      <c r="G14" s="8"/>
      <c r="H14" s="8"/>
      <c r="I14" s="8"/>
      <c r="J14" s="8"/>
      <c r="K14" s="8"/>
      <c r="L14" s="8"/>
      <c r="M14" s="8"/>
      <c r="N14" s="8" t="s">
        <v>48</v>
      </c>
      <c r="O14" s="8" t="s">
        <v>48</v>
      </c>
      <c r="P14" s="8" t="s">
        <v>144</v>
      </c>
      <c r="Q14" s="8" t="n">
        <v>1</v>
      </c>
      <c r="R14" s="8" t="n">
        <v>1</v>
      </c>
    </row>
    <row r="15" customFormat="false" ht="15" hidden="false" customHeight="false" outlineLevel="0" collapsed="false">
      <c r="A15" s="8" t="s">
        <v>158</v>
      </c>
      <c r="B15" s="8" t="s">
        <v>91</v>
      </c>
      <c r="C15" s="8" t="n">
        <v>1</v>
      </c>
      <c r="D15" s="8" t="n">
        <v>5778</v>
      </c>
      <c r="E15" s="8"/>
      <c r="F15" s="8"/>
      <c r="G15" s="8"/>
      <c r="H15" s="8"/>
      <c r="I15" s="8"/>
      <c r="J15" s="8"/>
      <c r="K15" s="8"/>
      <c r="L15" s="8"/>
      <c r="M15" s="8"/>
      <c r="N15" s="8" t="s">
        <v>48</v>
      </c>
      <c r="O15" s="8" t="s">
        <v>48</v>
      </c>
      <c r="P15" s="8" t="s">
        <v>144</v>
      </c>
      <c r="Q15" s="8" t="n">
        <v>1</v>
      </c>
      <c r="R15" s="8" t="n">
        <v>0</v>
      </c>
    </row>
    <row r="16" customFormat="false" ht="15" hidden="false" customHeight="false" outlineLevel="0" collapsed="false">
      <c r="A16" s="8" t="s">
        <v>159</v>
      </c>
      <c r="B16" s="8" t="s">
        <v>91</v>
      </c>
      <c r="C16" s="8" t="n">
        <v>1</v>
      </c>
      <c r="D16" s="8" t="n">
        <v>844</v>
      </c>
      <c r="E16" s="8"/>
      <c r="F16" s="8"/>
      <c r="G16" s="8"/>
      <c r="H16" s="8"/>
      <c r="I16" s="8"/>
      <c r="J16" s="8"/>
      <c r="K16" s="8"/>
      <c r="L16" s="8"/>
      <c r="M16" s="8"/>
      <c r="N16" s="8" t="s">
        <v>48</v>
      </c>
      <c r="O16" s="8"/>
      <c r="P16" s="8" t="s">
        <v>144</v>
      </c>
      <c r="Q16" s="8" t="n">
        <v>1</v>
      </c>
      <c r="R16" s="8" t="n">
        <v>0</v>
      </c>
    </row>
    <row r="17" customFormat="false" ht="15" hidden="false" customHeight="false" outlineLevel="0" collapsed="false">
      <c r="A17" s="8" t="s">
        <v>160</v>
      </c>
      <c r="B17" s="8" t="s">
        <v>91</v>
      </c>
      <c r="C17" s="8" t="n">
        <v>1</v>
      </c>
      <c r="D17" s="8" t="n">
        <v>2890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 t="s">
        <v>48</v>
      </c>
      <c r="P17" s="8" t="s">
        <v>144</v>
      </c>
      <c r="Q17" s="8" t="n">
        <v>1</v>
      </c>
      <c r="R17" s="8" t="n">
        <v>0</v>
      </c>
    </row>
    <row r="18" customFormat="false" ht="15" hidden="false" customHeight="false" outlineLevel="0" collapsed="false">
      <c r="A18" s="8" t="s">
        <v>161</v>
      </c>
      <c r="B18" s="8" t="s">
        <v>91</v>
      </c>
      <c r="C18" s="8" t="n">
        <v>1</v>
      </c>
      <c r="D18" s="8" t="n">
        <v>844</v>
      </c>
      <c r="E18" s="8"/>
      <c r="F18" s="8"/>
      <c r="G18" s="8"/>
      <c r="H18" s="8"/>
      <c r="I18" s="8"/>
      <c r="J18" s="8"/>
      <c r="K18" s="8"/>
      <c r="L18" s="8"/>
      <c r="M18" s="8"/>
      <c r="N18" s="8" t="s">
        <v>48</v>
      </c>
      <c r="O18" s="8"/>
      <c r="P18" s="8" t="s">
        <v>144</v>
      </c>
      <c r="Q18" s="8" t="n">
        <v>1</v>
      </c>
      <c r="R18" s="8" t="n">
        <v>0</v>
      </c>
    </row>
    <row r="19" customFormat="false" ht="15" hidden="false" customHeight="false" outlineLevel="0" collapsed="false">
      <c r="A19" s="8" t="s">
        <v>162</v>
      </c>
      <c r="B19" s="8" t="s">
        <v>91</v>
      </c>
      <c r="C19" s="8" t="n">
        <v>1</v>
      </c>
      <c r="D19" s="8" t="n">
        <v>8060</v>
      </c>
      <c r="E19" s="8"/>
      <c r="F19" s="8"/>
      <c r="G19" s="8"/>
      <c r="H19" s="8"/>
      <c r="I19" s="8"/>
      <c r="J19" s="8"/>
      <c r="K19" s="8"/>
      <c r="L19" s="8"/>
      <c r="M19" s="8"/>
      <c r="N19" s="8" t="s">
        <v>48</v>
      </c>
      <c r="O19" s="8" t="s">
        <v>48</v>
      </c>
      <c r="P19" s="8" t="s">
        <v>144</v>
      </c>
      <c r="Q19" s="8" t="n">
        <v>1</v>
      </c>
      <c r="R19" s="8" t="n">
        <v>0</v>
      </c>
    </row>
    <row r="20" customFormat="false" ht="15" hidden="false" customHeight="false" outlineLevel="0" collapsed="false">
      <c r="A20" s="8" t="s">
        <v>163</v>
      </c>
      <c r="B20" s="8" t="s">
        <v>91</v>
      </c>
      <c r="C20" s="8" t="n">
        <v>1</v>
      </c>
      <c r="D20" s="8" t="n">
        <v>3216</v>
      </c>
      <c r="E20" s="8"/>
      <c r="F20" s="8"/>
      <c r="G20" s="8"/>
      <c r="H20" s="8"/>
      <c r="I20" s="8"/>
      <c r="J20" s="8"/>
      <c r="K20" s="8"/>
      <c r="L20" s="8"/>
      <c r="M20" s="8"/>
      <c r="N20" s="8" t="s">
        <v>48</v>
      </c>
      <c r="O20" s="8"/>
      <c r="P20" s="8" t="s">
        <v>144</v>
      </c>
      <c r="Q20" s="8" t="n">
        <v>1</v>
      </c>
      <c r="R20" s="8" t="n">
        <v>0</v>
      </c>
    </row>
    <row r="21" customFormat="false" ht="15" hidden="false" customHeight="false" outlineLevel="0" collapsed="false">
      <c r="A21" s="8" t="s">
        <v>164</v>
      </c>
      <c r="B21" s="8" t="s">
        <v>91</v>
      </c>
      <c r="C21" s="8" t="n">
        <v>0</v>
      </c>
      <c r="D21" s="8" t="n">
        <v>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 t="s">
        <v>152</v>
      </c>
      <c r="Q21" s="8" t="n">
        <v>0</v>
      </c>
      <c r="R21" s="8" t="n">
        <v>0</v>
      </c>
    </row>
    <row r="22" customFormat="false" ht="15" hidden="false" customHeight="false" outlineLevel="0" collapsed="false">
      <c r="A22" s="8" t="s">
        <v>165</v>
      </c>
      <c r="B22" s="8" t="s">
        <v>93</v>
      </c>
      <c r="C22" s="8" t="n">
        <v>0</v>
      </c>
      <c r="D22" s="8" t="n"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152</v>
      </c>
      <c r="Q22" s="8" t="n">
        <v>0</v>
      </c>
      <c r="R22" s="8" t="n">
        <v>0</v>
      </c>
    </row>
    <row r="23" customFormat="false" ht="15" hidden="false" customHeight="false" outlineLevel="0" collapsed="false">
      <c r="A23" s="8" t="s">
        <v>166</v>
      </c>
      <c r="B23" s="8" t="s">
        <v>93</v>
      </c>
      <c r="C23" s="8" t="n">
        <v>0</v>
      </c>
      <c r="D23" s="8" t="n">
        <v>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152</v>
      </c>
      <c r="Q23" s="8" t="n">
        <v>0</v>
      </c>
      <c r="R23" s="8" t="n">
        <v>0</v>
      </c>
    </row>
    <row r="24" customFormat="false" ht="15" hidden="false" customHeight="false" outlineLevel="0" collapsed="false">
      <c r="A24" s="8" t="s">
        <v>167</v>
      </c>
      <c r="B24" s="8" t="s">
        <v>93</v>
      </c>
      <c r="C24" s="8" t="n">
        <v>0</v>
      </c>
      <c r="D24" s="8" t="n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s">
        <v>152</v>
      </c>
      <c r="Q24" s="8" t="n">
        <v>0</v>
      </c>
      <c r="R24" s="8" t="n">
        <v>0</v>
      </c>
    </row>
    <row r="25" customFormat="false" ht="15" hidden="false" customHeight="false" outlineLevel="0" collapsed="false">
      <c r="A25" s="8" t="s">
        <v>168</v>
      </c>
      <c r="B25" s="8" t="s">
        <v>93</v>
      </c>
      <c r="C25" s="8" t="n">
        <v>0</v>
      </c>
      <c r="D25" s="8" t="n"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 t="s">
        <v>152</v>
      </c>
      <c r="Q25" s="8" t="n">
        <v>0</v>
      </c>
      <c r="R25" s="8" t="n">
        <v>0</v>
      </c>
    </row>
    <row r="26" customFormat="false" ht="15" hidden="false" customHeight="false" outlineLevel="0" collapsed="false">
      <c r="A26" s="8" t="s">
        <v>169</v>
      </c>
      <c r="B26" s="8" t="s">
        <v>93</v>
      </c>
      <c r="C26" s="8" t="n">
        <v>0</v>
      </c>
      <c r="D26" s="8" t="n">
        <v>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 t="s">
        <v>152</v>
      </c>
      <c r="Q26" s="8" t="n">
        <v>0</v>
      </c>
      <c r="R26" s="8" t="n">
        <v>0</v>
      </c>
    </row>
    <row r="27" customFormat="false" ht="15" hidden="false" customHeight="false" outlineLevel="0" collapsed="false">
      <c r="A27" s="8" t="s">
        <v>170</v>
      </c>
      <c r="B27" s="8" t="s">
        <v>93</v>
      </c>
      <c r="C27" s="8" t="n">
        <v>0</v>
      </c>
      <c r="D27" s="8" t="n">
        <v>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 t="s">
        <v>152</v>
      </c>
      <c r="Q27" s="8" t="n">
        <v>0</v>
      </c>
      <c r="R27" s="8" t="n">
        <v>0</v>
      </c>
    </row>
    <row r="28" customFormat="false" ht="15" hidden="false" customHeight="false" outlineLevel="0" collapsed="false">
      <c r="A28" s="8" t="s">
        <v>171</v>
      </c>
      <c r="B28" s="8" t="s">
        <v>93</v>
      </c>
      <c r="C28" s="8" t="n">
        <v>0</v>
      </c>
      <c r="D28" s="8" t="n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152</v>
      </c>
      <c r="Q28" s="8" t="n">
        <v>0</v>
      </c>
      <c r="R28" s="8" t="n">
        <v>0</v>
      </c>
    </row>
    <row r="29" customFormat="false" ht="15" hidden="false" customHeight="false" outlineLevel="0" collapsed="false">
      <c r="A29" s="8" t="s">
        <v>172</v>
      </c>
      <c r="B29" s="8" t="s">
        <v>93</v>
      </c>
      <c r="C29" s="8" t="n">
        <v>0</v>
      </c>
      <c r="D29" s="8" t="n"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 t="s">
        <v>152</v>
      </c>
      <c r="Q29" s="8" t="n">
        <v>0</v>
      </c>
      <c r="R29" s="8" t="n">
        <v>0</v>
      </c>
    </row>
    <row r="30" customFormat="false" ht="15" hidden="false" customHeight="false" outlineLevel="0" collapsed="false">
      <c r="A30" s="8" t="s">
        <v>173</v>
      </c>
      <c r="B30" s="8" t="s">
        <v>93</v>
      </c>
      <c r="C30" s="8" t="n">
        <v>0</v>
      </c>
      <c r="D30" s="8" t="n">
        <v>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 t="s">
        <v>152</v>
      </c>
      <c r="Q30" s="8" t="n">
        <v>0</v>
      </c>
      <c r="R30" s="8" t="n">
        <v>0</v>
      </c>
    </row>
    <row r="31" customFormat="false" ht="15" hidden="false" customHeight="false" outlineLevel="0" collapsed="false">
      <c r="A31" s="8" t="s">
        <v>174</v>
      </c>
      <c r="B31" s="8" t="s">
        <v>93</v>
      </c>
      <c r="C31" s="8" t="n">
        <v>0</v>
      </c>
      <c r="D31" s="8" t="n"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 t="s">
        <v>152</v>
      </c>
      <c r="Q31" s="8" t="n">
        <v>0</v>
      </c>
      <c r="R31" s="8" t="n">
        <v>0</v>
      </c>
    </row>
    <row r="32" customFormat="false" ht="15" hidden="false" customHeight="false" outlineLevel="0" collapsed="false">
      <c r="A32" s="8" t="s">
        <v>175</v>
      </c>
      <c r="B32" s="8" t="s">
        <v>93</v>
      </c>
      <c r="C32" s="8" t="n">
        <v>0</v>
      </c>
      <c r="D32" s="8" t="n">
        <v>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 t="s">
        <v>152</v>
      </c>
      <c r="Q32" s="8" t="n">
        <v>0</v>
      </c>
      <c r="R32" s="8" t="n">
        <v>0</v>
      </c>
    </row>
    <row r="33" customFormat="false" ht="15" hidden="false" customHeight="false" outlineLevel="0" collapsed="false">
      <c r="A33" s="8" t="s">
        <v>176</v>
      </c>
      <c r="B33" s="8" t="s">
        <v>93</v>
      </c>
      <c r="C33" s="8" t="n">
        <v>0</v>
      </c>
      <c r="D33" s="8" t="n">
        <v>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 t="s">
        <v>152</v>
      </c>
      <c r="Q33" s="8" t="n">
        <v>0</v>
      </c>
      <c r="R33" s="8" t="n">
        <v>0</v>
      </c>
    </row>
    <row r="34" customFormat="false" ht="15" hidden="false" customHeight="false" outlineLevel="0" collapsed="false">
      <c r="A34" s="8" t="s">
        <v>177</v>
      </c>
      <c r="B34" s="8" t="s">
        <v>93</v>
      </c>
      <c r="C34" s="8" t="n">
        <v>0</v>
      </c>
      <c r="D34" s="8" t="n"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 t="s">
        <v>152</v>
      </c>
      <c r="Q34" s="8" t="n">
        <v>0</v>
      </c>
      <c r="R34" s="8" t="n">
        <v>0</v>
      </c>
    </row>
    <row r="35" customFormat="false" ht="15" hidden="false" customHeight="false" outlineLevel="0" collapsed="false">
      <c r="A35" s="8" t="s">
        <v>178</v>
      </c>
      <c r="B35" s="8" t="s">
        <v>93</v>
      </c>
      <c r="C35" s="8" t="n">
        <v>0</v>
      </c>
      <c r="D35" s="8" t="n">
        <v>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 t="s">
        <v>152</v>
      </c>
      <c r="Q35" s="8" t="n">
        <v>0</v>
      </c>
      <c r="R35" s="8" t="n">
        <v>0</v>
      </c>
    </row>
    <row r="36" customFormat="false" ht="15" hidden="false" customHeight="false" outlineLevel="0" collapsed="false">
      <c r="A36" s="8" t="s">
        <v>179</v>
      </c>
      <c r="B36" s="8" t="s">
        <v>95</v>
      </c>
      <c r="C36" s="8" t="n">
        <v>1</v>
      </c>
      <c r="D36" s="8" t="n">
        <v>6330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 t="s">
        <v>48</v>
      </c>
      <c r="P36" s="8" t="s">
        <v>144</v>
      </c>
      <c r="Q36" s="8" t="n">
        <v>1</v>
      </c>
      <c r="R36" s="8" t="n">
        <v>0</v>
      </c>
    </row>
    <row r="37" customFormat="false" ht="15" hidden="false" customHeight="false" outlineLevel="0" collapsed="false">
      <c r="A37" s="8" t="s">
        <v>180</v>
      </c>
      <c r="B37" s="8" t="s">
        <v>95</v>
      </c>
      <c r="C37" s="8" t="n">
        <v>1</v>
      </c>
      <c r="D37" s="8" t="n">
        <v>12498</v>
      </c>
      <c r="E37" s="8"/>
      <c r="F37" s="8" t="s">
        <v>38</v>
      </c>
      <c r="G37" s="8"/>
      <c r="H37" s="8"/>
      <c r="I37" s="8"/>
      <c r="J37" s="8"/>
      <c r="K37" s="8"/>
      <c r="L37" s="8"/>
      <c r="M37" s="8"/>
      <c r="N37" s="8" t="s">
        <v>48</v>
      </c>
      <c r="O37" s="8" t="s">
        <v>48</v>
      </c>
      <c r="P37" s="8" t="s">
        <v>144</v>
      </c>
      <c r="Q37" s="8" t="n">
        <v>1</v>
      </c>
      <c r="R37" s="8" t="n">
        <v>1</v>
      </c>
    </row>
    <row r="38" customFormat="false" ht="15" hidden="false" customHeight="false" outlineLevel="0" collapsed="false">
      <c r="A38" s="8" t="s">
        <v>181</v>
      </c>
      <c r="B38" s="8" t="s">
        <v>95</v>
      </c>
      <c r="C38" s="8" t="n">
        <v>1</v>
      </c>
      <c r="D38" s="8" t="n">
        <v>5778</v>
      </c>
      <c r="E38" s="8"/>
      <c r="F38" s="8"/>
      <c r="G38" s="8"/>
      <c r="H38" s="8"/>
      <c r="I38" s="8"/>
      <c r="J38" s="8"/>
      <c r="K38" s="8"/>
      <c r="L38" s="8"/>
      <c r="M38" s="8"/>
      <c r="N38" s="8" t="s">
        <v>48</v>
      </c>
      <c r="O38" s="8" t="s">
        <v>48</v>
      </c>
      <c r="P38" s="8" t="s">
        <v>144</v>
      </c>
      <c r="Q38" s="8" t="n">
        <v>1</v>
      </c>
      <c r="R38" s="8" t="n">
        <v>0</v>
      </c>
    </row>
    <row r="39" customFormat="false" ht="15" hidden="false" customHeight="false" outlineLevel="0" collapsed="false">
      <c r="A39" s="8" t="s">
        <v>182</v>
      </c>
      <c r="B39" s="8" t="s">
        <v>95</v>
      </c>
      <c r="C39" s="8" t="n">
        <v>1</v>
      </c>
      <c r="D39" s="8" t="n">
        <v>844</v>
      </c>
      <c r="E39" s="8"/>
      <c r="F39" s="8"/>
      <c r="G39" s="8"/>
      <c r="H39" s="8"/>
      <c r="I39" s="8"/>
      <c r="J39" s="8"/>
      <c r="K39" s="8"/>
      <c r="L39" s="8"/>
      <c r="M39" s="8"/>
      <c r="N39" s="8" t="s">
        <v>48</v>
      </c>
      <c r="O39" s="8"/>
      <c r="P39" s="8" t="s">
        <v>144</v>
      </c>
      <c r="Q39" s="8" t="n">
        <v>1</v>
      </c>
      <c r="R39" s="8" t="n">
        <v>0</v>
      </c>
    </row>
    <row r="40" customFormat="false" ht="15" hidden="false" customHeight="false" outlineLevel="0" collapsed="false">
      <c r="A40" s="8" t="s">
        <v>183</v>
      </c>
      <c r="B40" s="8" t="s">
        <v>95</v>
      </c>
      <c r="C40" s="8" t="n">
        <v>1</v>
      </c>
      <c r="D40" s="8" t="n">
        <v>2890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 t="s">
        <v>48</v>
      </c>
      <c r="P40" s="8" t="s">
        <v>144</v>
      </c>
      <c r="Q40" s="8" t="n">
        <v>1</v>
      </c>
      <c r="R40" s="8" t="n">
        <v>0</v>
      </c>
    </row>
    <row r="41" customFormat="false" ht="15" hidden="false" customHeight="false" outlineLevel="0" collapsed="false">
      <c r="A41" s="8" t="s">
        <v>184</v>
      </c>
      <c r="B41" s="8" t="s">
        <v>95</v>
      </c>
      <c r="C41" s="8" t="n">
        <v>1</v>
      </c>
      <c r="D41" s="8" t="n">
        <v>844</v>
      </c>
      <c r="E41" s="8"/>
      <c r="F41" s="8"/>
      <c r="G41" s="8"/>
      <c r="H41" s="8"/>
      <c r="I41" s="8"/>
      <c r="J41" s="8"/>
      <c r="K41" s="8"/>
      <c r="L41" s="8"/>
      <c r="M41" s="8"/>
      <c r="N41" s="8" t="s">
        <v>48</v>
      </c>
      <c r="O41" s="8"/>
      <c r="P41" s="8" t="s">
        <v>144</v>
      </c>
      <c r="Q41" s="8" t="n">
        <v>1</v>
      </c>
      <c r="R41" s="8" t="n">
        <v>0</v>
      </c>
    </row>
    <row r="42" customFormat="false" ht="15" hidden="false" customHeight="false" outlineLevel="0" collapsed="false">
      <c r="A42" s="8" t="s">
        <v>185</v>
      </c>
      <c r="B42" s="8" t="s">
        <v>95</v>
      </c>
      <c r="C42" s="8" t="n">
        <v>1</v>
      </c>
      <c r="D42" s="8" t="n">
        <v>8060</v>
      </c>
      <c r="E42" s="8"/>
      <c r="F42" s="8"/>
      <c r="G42" s="8"/>
      <c r="H42" s="8"/>
      <c r="I42" s="8"/>
      <c r="J42" s="8"/>
      <c r="K42" s="8"/>
      <c r="L42" s="8"/>
      <c r="M42" s="8"/>
      <c r="N42" s="8" t="s">
        <v>48</v>
      </c>
      <c r="O42" s="8" t="s">
        <v>48</v>
      </c>
      <c r="P42" s="8" t="s">
        <v>144</v>
      </c>
      <c r="Q42" s="8" t="n">
        <v>1</v>
      </c>
      <c r="R42" s="8" t="n">
        <v>0</v>
      </c>
    </row>
    <row r="43" customFormat="false" ht="15" hidden="false" customHeight="false" outlineLevel="0" collapsed="false">
      <c r="A43" s="8" t="s">
        <v>186</v>
      </c>
      <c r="B43" s="8" t="s">
        <v>95</v>
      </c>
      <c r="C43" s="8" t="n">
        <v>0</v>
      </c>
      <c r="D43" s="8" t="n">
        <v>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 t="s">
        <v>152</v>
      </c>
      <c r="Q43" s="8" t="n">
        <v>0</v>
      </c>
      <c r="R43" s="8" t="n">
        <v>0</v>
      </c>
    </row>
    <row r="44" customFormat="false" ht="15" hidden="false" customHeight="false" outlineLevel="0" collapsed="false">
      <c r="A44" s="8" t="s">
        <v>187</v>
      </c>
      <c r="B44" s="8" t="s">
        <v>95</v>
      </c>
      <c r="C44" s="8" t="n">
        <v>0</v>
      </c>
      <c r="D44" s="8" t="n">
        <v>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 t="s">
        <v>152</v>
      </c>
      <c r="Q44" s="8" t="n">
        <v>0</v>
      </c>
      <c r="R44" s="8" t="n">
        <v>0</v>
      </c>
    </row>
    <row r="45" customFormat="false" ht="15" hidden="false" customHeight="false" outlineLevel="0" collapsed="false">
      <c r="A45" s="8" t="s">
        <v>188</v>
      </c>
      <c r="B45" s="8" t="s">
        <v>94</v>
      </c>
      <c r="C45" s="8" t="n">
        <v>0</v>
      </c>
      <c r="D45" s="8" t="n">
        <v>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 t="s">
        <v>152</v>
      </c>
      <c r="Q45" s="8" t="n">
        <v>0</v>
      </c>
      <c r="R45" s="8" t="n">
        <v>0</v>
      </c>
    </row>
    <row r="46" customFormat="false" ht="15" hidden="false" customHeight="false" outlineLevel="0" collapsed="false">
      <c r="A46" s="8" t="s">
        <v>189</v>
      </c>
      <c r="B46" s="8" t="s">
        <v>94</v>
      </c>
      <c r="C46" s="8" t="n">
        <v>0</v>
      </c>
      <c r="D46" s="8" t="n">
        <v>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 t="s">
        <v>152</v>
      </c>
      <c r="Q46" s="8" t="n">
        <v>0</v>
      </c>
      <c r="R46" s="8" t="n">
        <v>0</v>
      </c>
    </row>
    <row r="47" customFormat="false" ht="15" hidden="false" customHeight="false" outlineLevel="0" collapsed="false">
      <c r="A47" s="8" t="s">
        <v>190</v>
      </c>
      <c r="B47" s="8" t="s">
        <v>94</v>
      </c>
      <c r="C47" s="8" t="n">
        <v>0</v>
      </c>
      <c r="D47" s="8" t="n">
        <v>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 t="s">
        <v>152</v>
      </c>
      <c r="Q47" s="8" t="n">
        <v>0</v>
      </c>
      <c r="R47" s="8" t="n">
        <v>0</v>
      </c>
    </row>
    <row r="48" customFormat="false" ht="15" hidden="false" customHeight="false" outlineLevel="0" collapsed="false">
      <c r="A48" s="8" t="s">
        <v>191</v>
      </c>
      <c r="B48" s="8" t="s">
        <v>94</v>
      </c>
      <c r="C48" s="8" t="n">
        <v>0</v>
      </c>
      <c r="D48" s="8" t="n">
        <v>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 t="s">
        <v>152</v>
      </c>
      <c r="Q48" s="8" t="n">
        <v>0</v>
      </c>
      <c r="R48" s="8" t="n">
        <v>0</v>
      </c>
    </row>
    <row r="49" customFormat="false" ht="15" hidden="false" customHeight="false" outlineLevel="0" collapsed="false">
      <c r="A49" s="8" t="s">
        <v>192</v>
      </c>
      <c r="B49" s="8" t="s">
        <v>94</v>
      </c>
      <c r="C49" s="8" t="n">
        <v>0</v>
      </c>
      <c r="D49" s="8" t="n">
        <v>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 t="s">
        <v>152</v>
      </c>
      <c r="Q49" s="8" t="n">
        <v>0</v>
      </c>
      <c r="R49" s="8" t="n">
        <v>0</v>
      </c>
    </row>
    <row r="50" customFormat="false" ht="15" hidden="false" customHeight="false" outlineLevel="0" collapsed="false">
      <c r="A50" s="8" t="s">
        <v>193</v>
      </c>
      <c r="B50" s="8" t="s">
        <v>94</v>
      </c>
      <c r="C50" s="8" t="n">
        <v>0</v>
      </c>
      <c r="D50" s="8" t="n">
        <v>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 t="s">
        <v>152</v>
      </c>
      <c r="Q50" s="8" t="n">
        <v>0</v>
      </c>
      <c r="R50" s="8" t="n">
        <v>0</v>
      </c>
    </row>
    <row r="51" customFormat="false" ht="15" hidden="false" customHeight="false" outlineLevel="0" collapsed="false">
      <c r="A51" s="8" t="s">
        <v>194</v>
      </c>
      <c r="B51" s="8" t="s">
        <v>94</v>
      </c>
      <c r="C51" s="8" t="n">
        <v>0</v>
      </c>
      <c r="D51" s="8" t="n"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 t="s">
        <v>152</v>
      </c>
      <c r="Q51" s="8" t="n">
        <v>0</v>
      </c>
      <c r="R51" s="8" t="n">
        <v>0</v>
      </c>
    </row>
    <row r="52" customFormat="false" ht="15" hidden="false" customHeight="false" outlineLevel="0" collapsed="false">
      <c r="A52" s="8" t="s">
        <v>195</v>
      </c>
      <c r="B52" s="8" t="s">
        <v>94</v>
      </c>
      <c r="C52" s="8" t="n">
        <v>0</v>
      </c>
      <c r="D52" s="8" t="n">
        <v>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 t="s">
        <v>152</v>
      </c>
      <c r="Q52" s="8" t="n">
        <v>0</v>
      </c>
      <c r="R52" s="8" t="n">
        <v>0</v>
      </c>
    </row>
    <row r="53" customFormat="false" ht="15" hidden="false" customHeight="false" outlineLevel="0" collapsed="false">
      <c r="A53" s="8" t="s">
        <v>196</v>
      </c>
      <c r="B53" s="8" t="s">
        <v>94</v>
      </c>
      <c r="C53" s="8" t="n">
        <v>0</v>
      </c>
      <c r="D53" s="8" t="n">
        <v>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 t="s">
        <v>152</v>
      </c>
      <c r="Q53" s="8" t="n">
        <v>0</v>
      </c>
      <c r="R53" s="8" t="n">
        <v>0</v>
      </c>
    </row>
    <row r="54" customFormat="false" ht="15" hidden="false" customHeight="false" outlineLevel="0" collapsed="false">
      <c r="A54" s="8" t="s">
        <v>197</v>
      </c>
      <c r="B54" s="8" t="s">
        <v>94</v>
      </c>
      <c r="C54" s="8" t="n">
        <v>0</v>
      </c>
      <c r="D54" s="8" t="n">
        <v>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 t="s">
        <v>152</v>
      </c>
      <c r="Q54" s="8" t="n">
        <v>0</v>
      </c>
      <c r="R54" s="8" t="n">
        <v>0</v>
      </c>
    </row>
    <row r="55" customFormat="false" ht="15" hidden="false" customHeight="false" outlineLevel="0" collapsed="false">
      <c r="A55" s="8" t="s">
        <v>198</v>
      </c>
      <c r="B55" s="8" t="s">
        <v>94</v>
      </c>
      <c r="C55" s="8" t="n">
        <v>0</v>
      </c>
      <c r="D55" s="8" t="n">
        <v>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 t="s">
        <v>152</v>
      </c>
      <c r="Q55" s="8" t="n">
        <v>0</v>
      </c>
      <c r="R55" s="8" t="n">
        <v>0</v>
      </c>
    </row>
    <row r="56" customFormat="false" ht="15" hidden="false" customHeight="false" outlineLevel="0" collapsed="false">
      <c r="A56" s="8" t="s">
        <v>199</v>
      </c>
      <c r="B56" s="8" t="s">
        <v>94</v>
      </c>
      <c r="C56" s="8" t="n">
        <v>0</v>
      </c>
      <c r="D56" s="8" t="n">
        <v>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 t="s">
        <v>152</v>
      </c>
      <c r="Q56" s="8" t="n">
        <v>0</v>
      </c>
      <c r="R56" s="8" t="n">
        <v>0</v>
      </c>
    </row>
    <row r="57" customFormat="false" ht="15" hidden="false" customHeight="false" outlineLevel="0" collapsed="false">
      <c r="A57" s="8" t="s">
        <v>200</v>
      </c>
      <c r="B57" s="8" t="s">
        <v>96</v>
      </c>
      <c r="C57" s="8" t="n">
        <v>0</v>
      </c>
      <c r="D57" s="8" t="n">
        <v>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 t="s">
        <v>152</v>
      </c>
      <c r="Q57" s="8" t="n">
        <v>0</v>
      </c>
      <c r="R57" s="8" t="n">
        <v>0</v>
      </c>
    </row>
    <row r="58" customFormat="false" ht="15" hidden="false" customHeight="false" outlineLevel="0" collapsed="false">
      <c r="A58" s="8" t="s">
        <v>201</v>
      </c>
      <c r="B58" s="8" t="s">
        <v>96</v>
      </c>
      <c r="C58" s="8" t="n">
        <v>1</v>
      </c>
      <c r="D58" s="8" t="n">
        <v>6330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 t="s">
        <v>48</v>
      </c>
      <c r="P58" s="8" t="s">
        <v>144</v>
      </c>
      <c r="Q58" s="8" t="n">
        <v>1</v>
      </c>
      <c r="R58" s="8" t="n">
        <v>0</v>
      </c>
    </row>
    <row r="59" customFormat="false" ht="15" hidden="false" customHeight="false" outlineLevel="0" collapsed="false">
      <c r="A59" s="8" t="s">
        <v>202</v>
      </c>
      <c r="B59" s="8" t="s">
        <v>96</v>
      </c>
      <c r="C59" s="8" t="n">
        <v>1</v>
      </c>
      <c r="D59" s="8" t="n">
        <v>5778</v>
      </c>
      <c r="E59" s="8"/>
      <c r="F59" s="8"/>
      <c r="G59" s="8"/>
      <c r="H59" s="8"/>
      <c r="I59" s="8"/>
      <c r="J59" s="8"/>
      <c r="K59" s="8"/>
      <c r="L59" s="8"/>
      <c r="M59" s="8"/>
      <c r="N59" s="8" t="s">
        <v>48</v>
      </c>
      <c r="O59" s="8" t="s">
        <v>48</v>
      </c>
      <c r="P59" s="8" t="s">
        <v>144</v>
      </c>
      <c r="Q59" s="8" t="n">
        <v>1</v>
      </c>
      <c r="R59" s="8" t="n">
        <v>0</v>
      </c>
    </row>
    <row r="60" customFormat="false" ht="15" hidden="false" customHeight="false" outlineLevel="0" collapsed="false">
      <c r="A60" s="8" t="s">
        <v>203</v>
      </c>
      <c r="B60" s="8" t="s">
        <v>96</v>
      </c>
      <c r="C60" s="8" t="n">
        <v>1</v>
      </c>
      <c r="D60" s="8" t="n">
        <v>844</v>
      </c>
      <c r="E60" s="8"/>
      <c r="F60" s="8"/>
      <c r="G60" s="8"/>
      <c r="H60" s="8"/>
      <c r="I60" s="8"/>
      <c r="J60" s="8"/>
      <c r="K60" s="8"/>
      <c r="L60" s="8"/>
      <c r="M60" s="8"/>
      <c r="N60" s="8" t="s">
        <v>48</v>
      </c>
      <c r="O60" s="8"/>
      <c r="P60" s="8" t="s">
        <v>144</v>
      </c>
      <c r="Q60" s="8" t="n">
        <v>1</v>
      </c>
      <c r="R60" s="8" t="n">
        <v>0</v>
      </c>
    </row>
    <row r="61" customFormat="false" ht="15" hidden="false" customHeight="false" outlineLevel="0" collapsed="false">
      <c r="A61" s="8" t="s">
        <v>204</v>
      </c>
      <c r="B61" s="8" t="s">
        <v>96</v>
      </c>
      <c r="C61" s="8" t="n">
        <v>1</v>
      </c>
      <c r="D61" s="8" t="n">
        <v>2890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 t="s">
        <v>48</v>
      </c>
      <c r="P61" s="8" t="s">
        <v>144</v>
      </c>
      <c r="Q61" s="8" t="n">
        <v>1</v>
      </c>
      <c r="R61" s="8" t="n">
        <v>0</v>
      </c>
    </row>
    <row r="62" customFormat="false" ht="15" hidden="false" customHeight="false" outlineLevel="0" collapsed="false">
      <c r="A62" s="8" t="s">
        <v>205</v>
      </c>
      <c r="B62" s="8" t="s">
        <v>96</v>
      </c>
      <c r="C62" s="8" t="n">
        <v>0</v>
      </c>
      <c r="D62" s="8" t="n">
        <v>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 t="s">
        <v>152</v>
      </c>
      <c r="Q62" s="8" t="n">
        <v>0</v>
      </c>
      <c r="R62" s="8" t="n">
        <v>0</v>
      </c>
    </row>
    <row r="63" customFormat="false" ht="15" hidden="false" customHeight="false" outlineLevel="0" collapsed="false">
      <c r="A63" s="8" t="s">
        <v>206</v>
      </c>
      <c r="B63" s="8" t="s">
        <v>96</v>
      </c>
      <c r="C63" s="8" t="n">
        <v>1</v>
      </c>
      <c r="D63" s="8" t="n">
        <v>844</v>
      </c>
      <c r="E63" s="8"/>
      <c r="F63" s="8"/>
      <c r="G63" s="8"/>
      <c r="H63" s="8"/>
      <c r="I63" s="8"/>
      <c r="J63" s="8"/>
      <c r="K63" s="8"/>
      <c r="L63" s="8"/>
      <c r="M63" s="8"/>
      <c r="N63" s="8" t="s">
        <v>48</v>
      </c>
      <c r="O63" s="8"/>
      <c r="P63" s="8" t="s">
        <v>144</v>
      </c>
      <c r="Q63" s="8" t="n">
        <v>1</v>
      </c>
      <c r="R63" s="8" t="n">
        <v>0</v>
      </c>
    </row>
    <row r="64" customFormat="false" ht="15" hidden="false" customHeight="false" outlineLevel="0" collapsed="false">
      <c r="A64" s="8" t="s">
        <v>207</v>
      </c>
      <c r="B64" s="8" t="s">
        <v>96</v>
      </c>
      <c r="C64" s="8" t="n">
        <v>1</v>
      </c>
      <c r="D64" s="8" t="n">
        <v>1000</v>
      </c>
      <c r="E64" s="8"/>
      <c r="F64" s="8"/>
      <c r="G64" s="8"/>
      <c r="H64" s="8"/>
      <c r="I64" s="8"/>
      <c r="J64" s="8"/>
      <c r="K64" s="8"/>
      <c r="L64" s="8"/>
      <c r="M64" s="8"/>
      <c r="N64" s="8" t="s">
        <v>48</v>
      </c>
      <c r="O64" s="8"/>
      <c r="P64" s="8" t="s">
        <v>144</v>
      </c>
      <c r="Q64" s="8" t="n">
        <v>1</v>
      </c>
      <c r="R64" s="8" t="n">
        <v>0</v>
      </c>
    </row>
    <row r="65" customFormat="false" ht="15" hidden="false" customHeight="false" outlineLevel="0" collapsed="false">
      <c r="A65" s="8" t="s">
        <v>208</v>
      </c>
      <c r="B65" s="8" t="s">
        <v>97</v>
      </c>
      <c r="C65" s="8" t="n">
        <v>0</v>
      </c>
      <c r="D65" s="8" t="n">
        <v>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 t="s">
        <v>152</v>
      </c>
      <c r="Q65" s="8" t="n">
        <v>0</v>
      </c>
      <c r="R65" s="8" t="n">
        <v>0</v>
      </c>
    </row>
    <row r="66" customFormat="false" ht="15" hidden="false" customHeight="false" outlineLevel="0" collapsed="false">
      <c r="A66" s="8" t="s">
        <v>209</v>
      </c>
      <c r="B66" s="8" t="s">
        <v>97</v>
      </c>
      <c r="C66" s="8" t="n">
        <v>0</v>
      </c>
      <c r="D66" s="8" t="n">
        <v>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 t="s">
        <v>152</v>
      </c>
      <c r="Q66" s="8" t="n">
        <v>0</v>
      </c>
      <c r="R66" s="8" t="n">
        <v>0</v>
      </c>
    </row>
    <row r="67" customFormat="false" ht="15" hidden="false" customHeight="false" outlineLevel="0" collapsed="false">
      <c r="A67" s="8" t="s">
        <v>210</v>
      </c>
      <c r="B67" s="8" t="s">
        <v>97</v>
      </c>
      <c r="C67" s="8" t="n">
        <v>0</v>
      </c>
      <c r="D67" s="8" t="n">
        <v>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 t="s">
        <v>152</v>
      </c>
      <c r="Q67" s="8" t="n">
        <v>0</v>
      </c>
      <c r="R67" s="8" t="n">
        <v>0</v>
      </c>
    </row>
    <row r="68" customFormat="false" ht="15" hidden="false" customHeight="false" outlineLevel="0" collapsed="false">
      <c r="A68" s="8" t="s">
        <v>211</v>
      </c>
      <c r="B68" s="8" t="s">
        <v>97</v>
      </c>
      <c r="C68" s="8" t="n">
        <v>0</v>
      </c>
      <c r="D68" s="8" t="n">
        <v>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 t="s">
        <v>152</v>
      </c>
      <c r="Q68" s="8" t="n">
        <v>0</v>
      </c>
      <c r="R68" s="8" t="n">
        <v>0</v>
      </c>
    </row>
    <row r="69" customFormat="false" ht="15" hidden="false" customHeight="false" outlineLevel="0" collapsed="false">
      <c r="A69" s="8" t="s">
        <v>212</v>
      </c>
      <c r="B69" s="8" t="s">
        <v>97</v>
      </c>
      <c r="C69" s="8" t="n">
        <v>0</v>
      </c>
      <c r="D69" s="8" t="n">
        <v>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 t="s">
        <v>152</v>
      </c>
      <c r="Q69" s="8" t="n">
        <v>0</v>
      </c>
      <c r="R69" s="8" t="n">
        <v>0</v>
      </c>
    </row>
    <row r="70" customFormat="false" ht="15" hidden="false" customHeight="false" outlineLevel="0" collapsed="false">
      <c r="A70" s="8" t="s">
        <v>213</v>
      </c>
      <c r="B70" s="8" t="s">
        <v>97</v>
      </c>
      <c r="C70" s="8" t="n">
        <v>0</v>
      </c>
      <c r="D70" s="8" t="n">
        <v>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 t="s">
        <v>152</v>
      </c>
      <c r="Q70" s="8" t="n">
        <v>0</v>
      </c>
      <c r="R70" s="8" t="n">
        <v>0</v>
      </c>
    </row>
    <row r="71" customFormat="false" ht="15" hidden="false" customHeight="false" outlineLevel="0" collapsed="false">
      <c r="A71" s="8" t="s">
        <v>214</v>
      </c>
      <c r="B71" s="8" t="s">
        <v>97</v>
      </c>
      <c r="C71" s="8" t="n">
        <v>0</v>
      </c>
      <c r="D71" s="8" t="n">
        <v>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 t="s">
        <v>152</v>
      </c>
      <c r="Q71" s="8" t="n">
        <v>0</v>
      </c>
      <c r="R71" s="8" t="n">
        <v>0</v>
      </c>
    </row>
    <row r="72" customFormat="false" ht="15" hidden="false" customHeight="false" outlineLevel="0" collapsed="false">
      <c r="A72" s="8" t="s">
        <v>215</v>
      </c>
      <c r="B72" s="8" t="s">
        <v>97</v>
      </c>
      <c r="C72" s="8" t="n">
        <v>0</v>
      </c>
      <c r="D72" s="8" t="n">
        <v>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 t="s">
        <v>152</v>
      </c>
      <c r="Q72" s="8" t="n">
        <v>0</v>
      </c>
      <c r="R72" s="8" t="n">
        <v>0</v>
      </c>
    </row>
    <row r="73" customFormat="false" ht="15" hidden="false" customHeight="false" outlineLevel="0" collapsed="false">
      <c r="A73" s="8" t="s">
        <v>216</v>
      </c>
      <c r="B73" s="8" t="s">
        <v>97</v>
      </c>
      <c r="C73" s="8" t="n">
        <v>0</v>
      </c>
      <c r="D73" s="8" t="n">
        <v>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 t="s">
        <v>152</v>
      </c>
      <c r="Q73" s="8" t="n">
        <v>0</v>
      </c>
      <c r="R73" s="8" t="n">
        <v>0</v>
      </c>
    </row>
    <row r="74" customFormat="false" ht="15" hidden="false" customHeight="false" outlineLevel="0" collapsed="false">
      <c r="A74" s="8" t="s">
        <v>217</v>
      </c>
      <c r="B74" s="8" t="s">
        <v>97</v>
      </c>
      <c r="C74" s="8" t="n">
        <v>0</v>
      </c>
      <c r="D74" s="8" t="n">
        <v>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 t="s">
        <v>152</v>
      </c>
      <c r="Q74" s="8" t="n">
        <v>0</v>
      </c>
      <c r="R74" s="8" t="n">
        <v>0</v>
      </c>
    </row>
    <row r="75" customFormat="false" ht="15" hidden="false" customHeight="false" outlineLevel="0" collapsed="false">
      <c r="A75" s="8" t="s">
        <v>218</v>
      </c>
      <c r="B75" s="8" t="s">
        <v>97</v>
      </c>
      <c r="C75" s="8" t="n">
        <v>0</v>
      </c>
      <c r="D75" s="8" t="n">
        <v>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 t="s">
        <v>152</v>
      </c>
      <c r="Q75" s="8" t="n">
        <v>0</v>
      </c>
      <c r="R75" s="8" t="n">
        <v>0</v>
      </c>
    </row>
    <row r="76" customFormat="false" ht="15" hidden="false" customHeight="false" outlineLevel="0" collapsed="false">
      <c r="A76" s="8" t="s">
        <v>219</v>
      </c>
      <c r="B76" s="8" t="s">
        <v>97</v>
      </c>
      <c r="C76" s="8" t="n">
        <v>0</v>
      </c>
      <c r="D76" s="8" t="n">
        <v>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 t="s">
        <v>152</v>
      </c>
      <c r="Q76" s="8" t="n">
        <v>0</v>
      </c>
      <c r="R76" s="8" t="n">
        <v>0</v>
      </c>
    </row>
    <row r="77" customFormat="false" ht="15" hidden="false" customHeight="false" outlineLevel="0" collapsed="false">
      <c r="A77" s="8" t="s">
        <v>220</v>
      </c>
      <c r="B77" s="8" t="s">
        <v>97</v>
      </c>
      <c r="C77" s="8" t="n">
        <v>0</v>
      </c>
      <c r="D77" s="8" t="n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 t="s">
        <v>152</v>
      </c>
      <c r="Q77" s="8" t="n">
        <v>0</v>
      </c>
      <c r="R77" s="8" t="n">
        <v>0</v>
      </c>
    </row>
    <row r="78" customFormat="false" ht="15" hidden="false" customHeight="false" outlineLevel="0" collapsed="false">
      <c r="A78" s="8" t="s">
        <v>221</v>
      </c>
      <c r="B78" s="8" t="s">
        <v>97</v>
      </c>
      <c r="C78" s="8" t="n">
        <v>0</v>
      </c>
      <c r="D78" s="8" t="n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 t="s">
        <v>152</v>
      </c>
      <c r="Q78" s="8" t="n">
        <v>0</v>
      </c>
      <c r="R78" s="8" t="n">
        <v>0</v>
      </c>
    </row>
    <row r="79" customFormat="false" ht="15" hidden="false" customHeight="false" outlineLevel="0" collapsed="false">
      <c r="A79" s="8" t="s">
        <v>222</v>
      </c>
      <c r="B79" s="8" t="s">
        <v>97</v>
      </c>
      <c r="C79" s="8" t="n">
        <v>0</v>
      </c>
      <c r="D79" s="8" t="n">
        <v>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 t="s">
        <v>152</v>
      </c>
      <c r="Q79" s="8" t="n">
        <v>0</v>
      </c>
      <c r="R79" s="8" t="n">
        <v>0</v>
      </c>
    </row>
    <row r="80" customFormat="false" ht="15" hidden="false" customHeight="false" outlineLevel="0" collapsed="false">
      <c r="A80" s="8" t="s">
        <v>223</v>
      </c>
      <c r="B80" s="8" t="s">
        <v>97</v>
      </c>
      <c r="C80" s="8" t="n">
        <v>0</v>
      </c>
      <c r="D80" s="8" t="n">
        <v>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 t="s">
        <v>152</v>
      </c>
      <c r="Q80" s="8" t="n">
        <v>0</v>
      </c>
      <c r="R80" s="8" t="n">
        <v>0</v>
      </c>
    </row>
    <row r="81" customFormat="false" ht="15" hidden="false" customHeight="false" outlineLevel="0" collapsed="false">
      <c r="A81" s="8" t="s">
        <v>224</v>
      </c>
      <c r="B81" s="8" t="s">
        <v>99</v>
      </c>
      <c r="C81" s="8" t="n">
        <v>1</v>
      </c>
      <c r="D81" s="8" t="n">
        <v>6330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 t="s">
        <v>48</v>
      </c>
      <c r="P81" s="8" t="s">
        <v>144</v>
      </c>
      <c r="Q81" s="8" t="n">
        <v>1</v>
      </c>
      <c r="R81" s="8" t="n">
        <v>0</v>
      </c>
    </row>
    <row r="82" customFormat="false" ht="15" hidden="false" customHeight="false" outlineLevel="0" collapsed="false">
      <c r="A82" s="8" t="s">
        <v>225</v>
      </c>
      <c r="B82" s="8" t="s">
        <v>99</v>
      </c>
      <c r="C82" s="8" t="n">
        <v>1</v>
      </c>
      <c r="D82" s="8" t="n">
        <v>5778</v>
      </c>
      <c r="E82" s="8"/>
      <c r="F82" s="8"/>
      <c r="G82" s="8"/>
      <c r="H82" s="8"/>
      <c r="I82" s="8"/>
      <c r="J82" s="8"/>
      <c r="K82" s="8"/>
      <c r="L82" s="8"/>
      <c r="M82" s="8"/>
      <c r="N82" s="8" t="s">
        <v>48</v>
      </c>
      <c r="O82" s="8" t="s">
        <v>48</v>
      </c>
      <c r="P82" s="8" t="s">
        <v>144</v>
      </c>
      <c r="Q82" s="8" t="n">
        <v>1</v>
      </c>
      <c r="R82" s="8" t="n">
        <v>0</v>
      </c>
    </row>
    <row r="83" customFormat="false" ht="15" hidden="false" customHeight="false" outlineLevel="0" collapsed="false">
      <c r="A83" s="8" t="s">
        <v>226</v>
      </c>
      <c r="B83" s="8" t="s">
        <v>99</v>
      </c>
      <c r="C83" s="8" t="n">
        <v>1</v>
      </c>
      <c r="D83" s="8" t="n">
        <v>844</v>
      </c>
      <c r="E83" s="8"/>
      <c r="F83" s="8"/>
      <c r="G83" s="8"/>
      <c r="H83" s="8"/>
      <c r="I83" s="8"/>
      <c r="J83" s="8"/>
      <c r="K83" s="8"/>
      <c r="L83" s="8"/>
      <c r="M83" s="8"/>
      <c r="N83" s="8" t="s">
        <v>48</v>
      </c>
      <c r="O83" s="8"/>
      <c r="P83" s="8" t="s">
        <v>144</v>
      </c>
      <c r="Q83" s="8" t="n">
        <v>1</v>
      </c>
      <c r="R83" s="8" t="n">
        <v>0</v>
      </c>
    </row>
    <row r="84" customFormat="false" ht="15" hidden="false" customHeight="false" outlineLevel="0" collapsed="false">
      <c r="A84" s="8" t="s">
        <v>227</v>
      </c>
      <c r="B84" s="8" t="s">
        <v>99</v>
      </c>
      <c r="C84" s="8" t="n">
        <v>1</v>
      </c>
      <c r="D84" s="8" t="n">
        <v>2890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 t="s">
        <v>48</v>
      </c>
      <c r="P84" s="8" t="s">
        <v>144</v>
      </c>
      <c r="Q84" s="8" t="n">
        <v>1</v>
      </c>
      <c r="R84" s="8" t="n">
        <v>0</v>
      </c>
    </row>
    <row r="85" customFormat="false" ht="15" hidden="false" customHeight="false" outlineLevel="0" collapsed="false">
      <c r="A85" s="8" t="s">
        <v>228</v>
      </c>
      <c r="B85" s="8" t="s">
        <v>99</v>
      </c>
      <c r="C85" s="8" t="n">
        <v>1</v>
      </c>
      <c r="D85" s="8" t="n">
        <v>844</v>
      </c>
      <c r="E85" s="8"/>
      <c r="F85" s="8"/>
      <c r="G85" s="8"/>
      <c r="H85" s="8"/>
      <c r="I85" s="8"/>
      <c r="J85" s="8"/>
      <c r="K85" s="8"/>
      <c r="L85" s="8"/>
      <c r="M85" s="8"/>
      <c r="N85" s="8" t="s">
        <v>48</v>
      </c>
      <c r="O85" s="8"/>
      <c r="P85" s="8" t="s">
        <v>144</v>
      </c>
      <c r="Q85" s="8" t="n">
        <v>1</v>
      </c>
      <c r="R85" s="8" t="n">
        <v>0</v>
      </c>
    </row>
    <row r="86" customFormat="false" ht="15" hidden="false" customHeight="false" outlineLevel="0" collapsed="false">
      <c r="A86" s="8" t="s">
        <v>229</v>
      </c>
      <c r="B86" s="8" t="s">
        <v>99</v>
      </c>
      <c r="C86" s="8" t="n">
        <v>1</v>
      </c>
      <c r="D86" s="8" t="n">
        <v>8060</v>
      </c>
      <c r="E86" s="8"/>
      <c r="F86" s="8"/>
      <c r="G86" s="8"/>
      <c r="H86" s="8"/>
      <c r="I86" s="8"/>
      <c r="J86" s="8"/>
      <c r="K86" s="8"/>
      <c r="L86" s="8"/>
      <c r="M86" s="8"/>
      <c r="N86" s="8" t="s">
        <v>48</v>
      </c>
      <c r="O86" s="8" t="s">
        <v>48</v>
      </c>
      <c r="P86" s="8" t="s">
        <v>144</v>
      </c>
      <c r="Q86" s="8" t="n">
        <v>1</v>
      </c>
      <c r="R86" s="8" t="n">
        <v>0</v>
      </c>
    </row>
    <row r="87" customFormat="false" ht="15" hidden="false" customHeight="false" outlineLevel="0" collapsed="false">
      <c r="A87" s="8" t="s">
        <v>230</v>
      </c>
      <c r="B87" s="8" t="s">
        <v>99</v>
      </c>
      <c r="C87" s="8" t="n">
        <v>0</v>
      </c>
      <c r="D87" s="8" t="n">
        <v>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 t="s">
        <v>152</v>
      </c>
      <c r="Q87" s="8" t="n">
        <v>0</v>
      </c>
      <c r="R87" s="8" t="n">
        <v>0</v>
      </c>
    </row>
    <row r="88" customFormat="false" ht="15" hidden="false" customHeight="false" outlineLevel="0" collapsed="false">
      <c r="A88" s="8" t="s">
        <v>231</v>
      </c>
      <c r="B88" s="8" t="s">
        <v>99</v>
      </c>
      <c r="C88" s="8" t="n">
        <v>0</v>
      </c>
      <c r="D88" s="8" t="n">
        <v>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 t="s">
        <v>152</v>
      </c>
      <c r="Q88" s="8" t="n">
        <v>0</v>
      </c>
      <c r="R88" s="8" t="n">
        <v>0</v>
      </c>
    </row>
    <row r="89" customFormat="false" ht="15" hidden="false" customHeight="false" outlineLevel="0" collapsed="false">
      <c r="A89" s="8" t="s">
        <v>232</v>
      </c>
      <c r="B89" s="8" t="s">
        <v>99</v>
      </c>
      <c r="C89" s="8" t="n">
        <v>1</v>
      </c>
      <c r="D89" s="8" t="n">
        <v>11256</v>
      </c>
      <c r="E89" s="8"/>
      <c r="F89" s="8" t="s">
        <v>38</v>
      </c>
      <c r="G89" s="8"/>
      <c r="H89" s="8"/>
      <c r="I89" s="8"/>
      <c r="J89" s="8"/>
      <c r="K89" s="8"/>
      <c r="L89" s="8"/>
      <c r="M89" s="8"/>
      <c r="N89" s="8" t="s">
        <v>48</v>
      </c>
      <c r="O89" s="8" t="s">
        <v>48</v>
      </c>
      <c r="P89" s="8" t="s">
        <v>144</v>
      </c>
      <c r="Q89" s="8" t="n">
        <v>1</v>
      </c>
      <c r="R89" s="8" t="n">
        <v>1</v>
      </c>
    </row>
    <row r="90" customFormat="false" ht="15" hidden="false" customHeight="false" outlineLevel="0" collapsed="false">
      <c r="A90" s="8" t="s">
        <v>233</v>
      </c>
      <c r="B90" s="8" t="s">
        <v>98</v>
      </c>
      <c r="C90" s="8" t="n">
        <v>0</v>
      </c>
      <c r="D90" s="8" t="n">
        <v>0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 t="s">
        <v>152</v>
      </c>
      <c r="Q90" s="8" t="n">
        <v>0</v>
      </c>
      <c r="R90" s="8" t="n">
        <v>0</v>
      </c>
    </row>
    <row r="91" customFormat="false" ht="15" hidden="false" customHeight="false" outlineLevel="0" collapsed="false">
      <c r="A91" s="8" t="s">
        <v>234</v>
      </c>
      <c r="B91" s="8" t="s">
        <v>98</v>
      </c>
      <c r="C91" s="8" t="n">
        <v>1</v>
      </c>
      <c r="D91" s="8" t="n">
        <v>6330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 t="s">
        <v>48</v>
      </c>
      <c r="P91" s="8" t="s">
        <v>144</v>
      </c>
      <c r="Q91" s="8" t="n">
        <v>1</v>
      </c>
      <c r="R91" s="8" t="n">
        <v>0</v>
      </c>
    </row>
    <row r="92" customFormat="false" ht="15" hidden="false" customHeight="false" outlineLevel="0" collapsed="false">
      <c r="A92" s="8" t="s">
        <v>235</v>
      </c>
      <c r="B92" s="8" t="s">
        <v>98</v>
      </c>
      <c r="C92" s="8" t="n">
        <v>1</v>
      </c>
      <c r="D92" s="8" t="n">
        <v>12498</v>
      </c>
      <c r="E92" s="8"/>
      <c r="F92" s="8" t="s">
        <v>38</v>
      </c>
      <c r="G92" s="8"/>
      <c r="H92" s="8"/>
      <c r="I92" s="8"/>
      <c r="J92" s="8"/>
      <c r="K92" s="8"/>
      <c r="L92" s="8"/>
      <c r="M92" s="8"/>
      <c r="N92" s="8" t="s">
        <v>48</v>
      </c>
      <c r="O92" s="8" t="s">
        <v>48</v>
      </c>
      <c r="P92" s="8" t="s">
        <v>144</v>
      </c>
      <c r="Q92" s="8" t="n">
        <v>1</v>
      </c>
      <c r="R92" s="8" t="n">
        <v>1</v>
      </c>
    </row>
    <row r="93" customFormat="false" ht="15" hidden="false" customHeight="false" outlineLevel="0" collapsed="false">
      <c r="A93" s="8" t="s">
        <v>236</v>
      </c>
      <c r="B93" s="8" t="s">
        <v>98</v>
      </c>
      <c r="C93" s="8" t="n">
        <v>1</v>
      </c>
      <c r="D93" s="8" t="n">
        <v>5778</v>
      </c>
      <c r="E93" s="8"/>
      <c r="F93" s="8"/>
      <c r="G93" s="8"/>
      <c r="H93" s="8"/>
      <c r="I93" s="8"/>
      <c r="J93" s="8"/>
      <c r="K93" s="8"/>
      <c r="L93" s="8"/>
      <c r="M93" s="8"/>
      <c r="N93" s="8" t="s">
        <v>48</v>
      </c>
      <c r="O93" s="8" t="s">
        <v>48</v>
      </c>
      <c r="P93" s="8" t="s">
        <v>144</v>
      </c>
      <c r="Q93" s="8" t="n">
        <v>1</v>
      </c>
      <c r="R93" s="8" t="n">
        <v>0</v>
      </c>
    </row>
    <row r="94" customFormat="false" ht="15" hidden="false" customHeight="false" outlineLevel="0" collapsed="false">
      <c r="A94" s="8" t="s">
        <v>237</v>
      </c>
      <c r="B94" s="8" t="s">
        <v>98</v>
      </c>
      <c r="C94" s="8" t="n">
        <v>1</v>
      </c>
      <c r="D94" s="8" t="n">
        <v>844</v>
      </c>
      <c r="E94" s="8"/>
      <c r="F94" s="8"/>
      <c r="G94" s="8"/>
      <c r="H94" s="8"/>
      <c r="I94" s="8"/>
      <c r="J94" s="8"/>
      <c r="K94" s="8"/>
      <c r="L94" s="8"/>
      <c r="M94" s="8"/>
      <c r="N94" s="8" t="s">
        <v>48</v>
      </c>
      <c r="O94" s="8"/>
      <c r="P94" s="8" t="s">
        <v>144</v>
      </c>
      <c r="Q94" s="8" t="n">
        <v>1</v>
      </c>
      <c r="R94" s="8" t="n">
        <v>0</v>
      </c>
    </row>
    <row r="95" customFormat="false" ht="15" hidden="false" customHeight="false" outlineLevel="0" collapsed="false">
      <c r="A95" s="8" t="s">
        <v>238</v>
      </c>
      <c r="B95" s="8" t="s">
        <v>98</v>
      </c>
      <c r="C95" s="8" t="n">
        <v>1</v>
      </c>
      <c r="D95" s="8" t="n">
        <v>2890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 t="s">
        <v>48</v>
      </c>
      <c r="P95" s="8" t="s">
        <v>144</v>
      </c>
      <c r="Q95" s="8" t="n">
        <v>1</v>
      </c>
      <c r="R95" s="8" t="n">
        <v>0</v>
      </c>
    </row>
    <row r="96" customFormat="false" ht="15" hidden="false" customHeight="false" outlineLevel="0" collapsed="false">
      <c r="A96" s="8" t="s">
        <v>239</v>
      </c>
      <c r="B96" s="8" t="s">
        <v>98</v>
      </c>
      <c r="C96" s="8" t="n">
        <v>1</v>
      </c>
      <c r="D96" s="8" t="n">
        <v>844</v>
      </c>
      <c r="E96" s="8"/>
      <c r="F96" s="8"/>
      <c r="G96" s="8"/>
      <c r="H96" s="8"/>
      <c r="I96" s="8"/>
      <c r="J96" s="8"/>
      <c r="K96" s="8"/>
      <c r="L96" s="8"/>
      <c r="M96" s="8"/>
      <c r="N96" s="8" t="s">
        <v>48</v>
      </c>
      <c r="O96" s="8"/>
      <c r="P96" s="8" t="s">
        <v>144</v>
      </c>
      <c r="Q96" s="8" t="n">
        <v>1</v>
      </c>
      <c r="R96" s="8" t="n">
        <v>0</v>
      </c>
    </row>
    <row r="97" customFormat="false" ht="15" hidden="false" customHeight="false" outlineLevel="0" collapsed="false">
      <c r="A97" s="8" t="s">
        <v>240</v>
      </c>
      <c r="B97" s="8" t="s">
        <v>98</v>
      </c>
      <c r="C97" s="8" t="n">
        <v>1</v>
      </c>
      <c r="D97" s="8" t="n">
        <v>8060</v>
      </c>
      <c r="E97" s="8"/>
      <c r="F97" s="8"/>
      <c r="G97" s="8"/>
      <c r="H97" s="8"/>
      <c r="I97" s="8"/>
      <c r="J97" s="8"/>
      <c r="K97" s="8"/>
      <c r="L97" s="8"/>
      <c r="M97" s="8"/>
      <c r="N97" s="8" t="s">
        <v>48</v>
      </c>
      <c r="O97" s="8" t="s">
        <v>48</v>
      </c>
      <c r="P97" s="8" t="s">
        <v>144</v>
      </c>
      <c r="Q97" s="8" t="n">
        <v>1</v>
      </c>
      <c r="R97" s="8" t="n">
        <v>0</v>
      </c>
    </row>
    <row r="98" customFormat="false" ht="15" hidden="false" customHeight="false" outlineLevel="0" collapsed="false">
      <c r="A98" s="8" t="s">
        <v>241</v>
      </c>
      <c r="B98" s="8" t="s">
        <v>98</v>
      </c>
      <c r="C98" s="8" t="n">
        <v>0</v>
      </c>
      <c r="D98" s="8" t="n">
        <v>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 t="s">
        <v>152</v>
      </c>
      <c r="Q98" s="8" t="n">
        <v>0</v>
      </c>
      <c r="R98" s="8" t="n">
        <v>0</v>
      </c>
    </row>
    <row r="99" customFormat="false" ht="15" hidden="false" customHeight="false" outlineLevel="0" collapsed="false">
      <c r="A99" s="8" t="s">
        <v>242</v>
      </c>
      <c r="B99" s="8" t="s">
        <v>101</v>
      </c>
      <c r="C99" s="8" t="n">
        <v>1</v>
      </c>
      <c r="D99" s="8" t="n">
        <v>6330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 t="s">
        <v>48</v>
      </c>
      <c r="P99" s="8" t="s">
        <v>144</v>
      </c>
      <c r="Q99" s="8" t="n">
        <v>1</v>
      </c>
      <c r="R99" s="8" t="n">
        <v>0</v>
      </c>
    </row>
    <row r="100" customFormat="false" ht="15" hidden="false" customHeight="false" outlineLevel="0" collapsed="false">
      <c r="A100" s="8" t="s">
        <v>243</v>
      </c>
      <c r="B100" s="8" t="s">
        <v>101</v>
      </c>
      <c r="C100" s="8" t="n">
        <v>1</v>
      </c>
      <c r="D100" s="8" t="n">
        <v>5778</v>
      </c>
      <c r="E100" s="8"/>
      <c r="F100" s="8"/>
      <c r="G100" s="8"/>
      <c r="H100" s="8"/>
      <c r="I100" s="8"/>
      <c r="J100" s="8"/>
      <c r="K100" s="8"/>
      <c r="L100" s="8"/>
      <c r="M100" s="8"/>
      <c r="N100" s="8" t="s">
        <v>48</v>
      </c>
      <c r="O100" s="8" t="s">
        <v>48</v>
      </c>
      <c r="P100" s="8" t="s">
        <v>144</v>
      </c>
      <c r="Q100" s="8" t="n">
        <v>1</v>
      </c>
      <c r="R100" s="8" t="n">
        <v>0</v>
      </c>
    </row>
    <row r="101" customFormat="false" ht="15" hidden="false" customHeight="false" outlineLevel="0" collapsed="false">
      <c r="A101" s="8" t="s">
        <v>244</v>
      </c>
      <c r="B101" s="8" t="s">
        <v>101</v>
      </c>
      <c r="C101" s="8" t="n">
        <v>1</v>
      </c>
      <c r="D101" s="8" t="n">
        <v>844</v>
      </c>
      <c r="E101" s="8"/>
      <c r="F101" s="8"/>
      <c r="G101" s="8"/>
      <c r="H101" s="8"/>
      <c r="I101" s="8"/>
      <c r="J101" s="8"/>
      <c r="K101" s="8"/>
      <c r="L101" s="8"/>
      <c r="M101" s="8"/>
      <c r="N101" s="8" t="s">
        <v>48</v>
      </c>
      <c r="O101" s="8"/>
      <c r="P101" s="8" t="s">
        <v>144</v>
      </c>
      <c r="Q101" s="8" t="n">
        <v>1</v>
      </c>
      <c r="R101" s="8" t="n">
        <v>0</v>
      </c>
    </row>
    <row r="102" customFormat="false" ht="15" hidden="false" customHeight="false" outlineLevel="0" collapsed="false">
      <c r="A102" s="8" t="s">
        <v>245</v>
      </c>
      <c r="B102" s="8" t="s">
        <v>101</v>
      </c>
      <c r="C102" s="8" t="n">
        <v>1</v>
      </c>
      <c r="D102" s="8" t="n">
        <v>2890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 t="s">
        <v>48</v>
      </c>
      <c r="P102" s="8" t="s">
        <v>144</v>
      </c>
      <c r="Q102" s="8" t="n">
        <v>1</v>
      </c>
      <c r="R102" s="8" t="n">
        <v>0</v>
      </c>
    </row>
    <row r="103" customFormat="false" ht="15" hidden="false" customHeight="false" outlineLevel="0" collapsed="false">
      <c r="A103" s="8" t="s">
        <v>246</v>
      </c>
      <c r="B103" s="8" t="s">
        <v>101</v>
      </c>
      <c r="C103" s="8" t="n">
        <v>1</v>
      </c>
      <c r="D103" s="8" t="n">
        <v>844</v>
      </c>
      <c r="E103" s="8"/>
      <c r="F103" s="8"/>
      <c r="G103" s="8"/>
      <c r="H103" s="8"/>
      <c r="I103" s="8"/>
      <c r="J103" s="8"/>
      <c r="K103" s="8"/>
      <c r="L103" s="8"/>
      <c r="M103" s="8"/>
      <c r="N103" s="8" t="s">
        <v>48</v>
      </c>
      <c r="O103" s="8"/>
      <c r="P103" s="8" t="s">
        <v>144</v>
      </c>
      <c r="Q103" s="8" t="n">
        <v>1</v>
      </c>
      <c r="R103" s="8" t="n">
        <v>0</v>
      </c>
    </row>
    <row r="104" customFormat="false" ht="15" hidden="false" customHeight="false" outlineLevel="0" collapsed="false">
      <c r="A104" s="8" t="s">
        <v>247</v>
      </c>
      <c r="B104" s="8" t="s">
        <v>101</v>
      </c>
      <c r="C104" s="8" t="n">
        <v>1</v>
      </c>
      <c r="D104" s="8" t="n">
        <v>12498</v>
      </c>
      <c r="E104" s="8"/>
      <c r="F104" s="8" t="s">
        <v>38</v>
      </c>
      <c r="G104" s="8"/>
      <c r="H104" s="8"/>
      <c r="I104" s="8"/>
      <c r="J104" s="8"/>
      <c r="K104" s="8"/>
      <c r="L104" s="8"/>
      <c r="M104" s="8"/>
      <c r="N104" s="8" t="s">
        <v>48</v>
      </c>
      <c r="O104" s="8" t="s">
        <v>48</v>
      </c>
      <c r="P104" s="8" t="s">
        <v>144</v>
      </c>
      <c r="Q104" s="8" t="n">
        <v>1</v>
      </c>
      <c r="R104" s="8" t="n">
        <v>1</v>
      </c>
    </row>
    <row r="105" customFormat="false" ht="15" hidden="false" customHeight="false" outlineLevel="0" collapsed="false">
      <c r="A105" s="8" t="s">
        <v>248</v>
      </c>
      <c r="B105" s="8" t="s">
        <v>101</v>
      </c>
      <c r="C105" s="8" t="n">
        <v>0</v>
      </c>
      <c r="D105" s="8" t="n">
        <v>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 t="s">
        <v>152</v>
      </c>
      <c r="Q105" s="8" t="n">
        <v>0</v>
      </c>
      <c r="R105" s="8" t="n">
        <v>0</v>
      </c>
    </row>
    <row r="106" customFormat="false" ht="15" hidden="false" customHeight="false" outlineLevel="0" collapsed="false">
      <c r="A106" s="8" t="s">
        <v>249</v>
      </c>
      <c r="B106" s="8" t="s">
        <v>101</v>
      </c>
      <c r="C106" s="8" t="n">
        <v>1</v>
      </c>
      <c r="D106" s="8" t="n">
        <v>1000</v>
      </c>
      <c r="E106" s="8"/>
      <c r="F106" s="8"/>
      <c r="G106" s="8"/>
      <c r="H106" s="8"/>
      <c r="I106" s="8"/>
      <c r="J106" s="8"/>
      <c r="K106" s="8"/>
      <c r="L106" s="8"/>
      <c r="M106" s="8"/>
      <c r="N106" s="8" t="s">
        <v>48</v>
      </c>
      <c r="O106" s="8"/>
      <c r="P106" s="8" t="s">
        <v>144</v>
      </c>
      <c r="Q106" s="8" t="n">
        <v>1</v>
      </c>
      <c r="R106" s="8" t="n">
        <v>0</v>
      </c>
    </row>
    <row r="107" customFormat="false" ht="15" hidden="false" customHeight="false" outlineLevel="0" collapsed="false">
      <c r="A107" s="8" t="s">
        <v>250</v>
      </c>
      <c r="B107" s="8" t="s">
        <v>100</v>
      </c>
      <c r="C107" s="8" t="n">
        <v>1</v>
      </c>
      <c r="D107" s="8" t="n">
        <v>5676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 t="s">
        <v>48</v>
      </c>
      <c r="P107" s="8" t="s">
        <v>144</v>
      </c>
      <c r="Q107" s="8" t="n">
        <v>1</v>
      </c>
      <c r="R107" s="8" t="n">
        <v>0</v>
      </c>
    </row>
    <row r="108" customFormat="false" ht="15" hidden="false" customHeight="false" outlineLevel="0" collapsed="false">
      <c r="A108" s="8" t="s">
        <v>251</v>
      </c>
      <c r="B108" s="8" t="s">
        <v>100</v>
      </c>
      <c r="C108" s="8" t="n">
        <v>0</v>
      </c>
      <c r="D108" s="8" t="n">
        <v>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 t="s">
        <v>152</v>
      </c>
      <c r="Q108" s="8" t="n">
        <v>0</v>
      </c>
      <c r="R108" s="8" t="n">
        <v>0</v>
      </c>
    </row>
    <row r="109" customFormat="false" ht="15" hidden="false" customHeight="false" outlineLevel="0" collapsed="false">
      <c r="A109" s="8" t="s">
        <v>252</v>
      </c>
      <c r="B109" s="8" t="s">
        <v>100</v>
      </c>
      <c r="C109" s="8" t="n">
        <v>1</v>
      </c>
      <c r="D109" s="8" t="n">
        <v>6330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s">
        <v>48</v>
      </c>
      <c r="P109" s="8" t="s">
        <v>144</v>
      </c>
      <c r="Q109" s="8" t="n">
        <v>1</v>
      </c>
      <c r="R109" s="8" t="n">
        <v>0</v>
      </c>
    </row>
    <row r="110" customFormat="false" ht="15" hidden="false" customHeight="false" outlineLevel="0" collapsed="false">
      <c r="A110" s="8" t="s">
        <v>253</v>
      </c>
      <c r="B110" s="8" t="s">
        <v>100</v>
      </c>
      <c r="C110" s="8" t="n">
        <v>1</v>
      </c>
      <c r="D110" s="8" t="n">
        <v>12498</v>
      </c>
      <c r="E110" s="8"/>
      <c r="F110" s="8" t="s">
        <v>38</v>
      </c>
      <c r="G110" s="8"/>
      <c r="H110" s="8"/>
      <c r="I110" s="8"/>
      <c r="J110" s="8"/>
      <c r="K110" s="8"/>
      <c r="L110" s="8"/>
      <c r="M110" s="8"/>
      <c r="N110" s="8" t="s">
        <v>48</v>
      </c>
      <c r="O110" s="8" t="s">
        <v>48</v>
      </c>
      <c r="P110" s="8" t="s">
        <v>144</v>
      </c>
      <c r="Q110" s="8" t="n">
        <v>1</v>
      </c>
      <c r="R110" s="8" t="n">
        <v>1</v>
      </c>
    </row>
    <row r="111" customFormat="false" ht="15" hidden="false" customHeight="false" outlineLevel="0" collapsed="false">
      <c r="A111" s="8" t="s">
        <v>254</v>
      </c>
      <c r="B111" s="8" t="s">
        <v>100</v>
      </c>
      <c r="C111" s="8" t="n">
        <v>1</v>
      </c>
      <c r="D111" s="8" t="n">
        <v>5778</v>
      </c>
      <c r="E111" s="8"/>
      <c r="F111" s="8"/>
      <c r="G111" s="8"/>
      <c r="H111" s="8"/>
      <c r="I111" s="8"/>
      <c r="J111" s="8"/>
      <c r="K111" s="8"/>
      <c r="L111" s="8"/>
      <c r="M111" s="8"/>
      <c r="N111" s="8" t="s">
        <v>48</v>
      </c>
      <c r="O111" s="8" t="s">
        <v>48</v>
      </c>
      <c r="P111" s="8" t="s">
        <v>144</v>
      </c>
      <c r="Q111" s="8" t="n">
        <v>1</v>
      </c>
      <c r="R111" s="8" t="n">
        <v>0</v>
      </c>
    </row>
    <row r="112" customFormat="false" ht="15" hidden="false" customHeight="false" outlineLevel="0" collapsed="false">
      <c r="A112" s="8" t="s">
        <v>255</v>
      </c>
      <c r="B112" s="8" t="s">
        <v>100</v>
      </c>
      <c r="C112" s="8" t="n">
        <v>1</v>
      </c>
      <c r="D112" s="8" t="n">
        <v>844</v>
      </c>
      <c r="E112" s="8"/>
      <c r="F112" s="8"/>
      <c r="G112" s="8"/>
      <c r="H112" s="8"/>
      <c r="I112" s="8"/>
      <c r="J112" s="8"/>
      <c r="K112" s="8"/>
      <c r="L112" s="8"/>
      <c r="M112" s="8"/>
      <c r="N112" s="8" t="s">
        <v>48</v>
      </c>
      <c r="O112" s="8"/>
      <c r="P112" s="8" t="s">
        <v>144</v>
      </c>
      <c r="Q112" s="8" t="n">
        <v>1</v>
      </c>
      <c r="R112" s="8" t="n">
        <v>0</v>
      </c>
    </row>
    <row r="113" customFormat="false" ht="15" hidden="false" customHeight="false" outlineLevel="0" collapsed="false">
      <c r="A113" s="8" t="s">
        <v>256</v>
      </c>
      <c r="B113" s="8" t="s">
        <v>100</v>
      </c>
      <c r="C113" s="8" t="n">
        <v>1</v>
      </c>
      <c r="D113" s="8" t="n">
        <v>2890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 t="s">
        <v>48</v>
      </c>
      <c r="P113" s="8" t="s">
        <v>144</v>
      </c>
      <c r="Q113" s="8" t="n">
        <v>1</v>
      </c>
      <c r="R113" s="8" t="n">
        <v>0</v>
      </c>
    </row>
    <row r="114" customFormat="false" ht="15" hidden="false" customHeight="false" outlineLevel="0" collapsed="false">
      <c r="A114" s="8" t="s">
        <v>257</v>
      </c>
      <c r="B114" s="8" t="s">
        <v>100</v>
      </c>
      <c r="C114" s="8" t="n">
        <v>1</v>
      </c>
      <c r="D114" s="8" t="n">
        <v>844</v>
      </c>
      <c r="E114" s="8"/>
      <c r="F114" s="8"/>
      <c r="G114" s="8"/>
      <c r="H114" s="8"/>
      <c r="I114" s="8"/>
      <c r="J114" s="8"/>
      <c r="K114" s="8"/>
      <c r="L114" s="8"/>
      <c r="M114" s="8"/>
      <c r="N114" s="8" t="s">
        <v>48</v>
      </c>
      <c r="O114" s="8"/>
      <c r="P114" s="8" t="s">
        <v>144</v>
      </c>
      <c r="Q114" s="8" t="n">
        <v>1</v>
      </c>
      <c r="R114" s="8" t="n">
        <v>0</v>
      </c>
    </row>
    <row r="115" customFormat="false" ht="15" hidden="false" customHeight="false" outlineLevel="0" collapsed="false">
      <c r="A115" s="8" t="s">
        <v>258</v>
      </c>
      <c r="B115" s="8" t="s">
        <v>100</v>
      </c>
      <c r="C115" s="8" t="n">
        <v>1</v>
      </c>
      <c r="D115" s="8" t="n">
        <v>8060</v>
      </c>
      <c r="E115" s="8"/>
      <c r="F115" s="8"/>
      <c r="G115" s="8"/>
      <c r="H115" s="8"/>
      <c r="I115" s="8"/>
      <c r="J115" s="8"/>
      <c r="K115" s="8"/>
      <c r="L115" s="8"/>
      <c r="M115" s="8"/>
      <c r="N115" s="8" t="s">
        <v>48</v>
      </c>
      <c r="O115" s="8" t="s">
        <v>48</v>
      </c>
      <c r="P115" s="8" t="s">
        <v>144</v>
      </c>
      <c r="Q115" s="8" t="n">
        <v>1</v>
      </c>
      <c r="R115" s="8" t="n">
        <v>0</v>
      </c>
    </row>
    <row r="116" customFormat="false" ht="15" hidden="false" customHeight="false" outlineLevel="0" collapsed="false">
      <c r="A116" s="8" t="s">
        <v>259</v>
      </c>
      <c r="B116" s="8" t="s">
        <v>100</v>
      </c>
      <c r="C116" s="8" t="n">
        <v>1</v>
      </c>
      <c r="D116" s="8" t="n">
        <v>3216</v>
      </c>
      <c r="E116" s="8"/>
      <c r="F116" s="8"/>
      <c r="G116" s="8"/>
      <c r="H116" s="8"/>
      <c r="I116" s="8"/>
      <c r="J116" s="8"/>
      <c r="K116" s="8"/>
      <c r="L116" s="8"/>
      <c r="M116" s="8"/>
      <c r="N116" s="8" t="s">
        <v>48</v>
      </c>
      <c r="O116" s="8"/>
      <c r="P116" s="8" t="s">
        <v>144</v>
      </c>
      <c r="Q116" s="8" t="n">
        <v>1</v>
      </c>
      <c r="R116" s="8" t="n">
        <v>0</v>
      </c>
    </row>
    <row r="117" customFormat="false" ht="15" hidden="false" customHeight="false" outlineLevel="0" collapsed="false">
      <c r="A117" s="8" t="s">
        <v>260</v>
      </c>
      <c r="B117" s="8" t="s">
        <v>100</v>
      </c>
      <c r="C117" s="8" t="n">
        <v>0</v>
      </c>
      <c r="D117" s="8" t="n">
        <v>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 t="s">
        <v>152</v>
      </c>
      <c r="Q117" s="8" t="n">
        <v>0</v>
      </c>
      <c r="R117" s="8" t="n">
        <v>0</v>
      </c>
    </row>
    <row r="118" customFormat="false" ht="15" hidden="false" customHeight="false" outlineLevel="0" collapsed="false">
      <c r="A118" s="8" t="s">
        <v>261</v>
      </c>
      <c r="B118" s="8" t="s">
        <v>102</v>
      </c>
      <c r="C118" s="8" t="n">
        <v>0</v>
      </c>
      <c r="D118" s="8" t="n">
        <v>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 t="s">
        <v>152</v>
      </c>
      <c r="Q118" s="8" t="n">
        <v>0</v>
      </c>
      <c r="R118" s="8" t="n">
        <v>0</v>
      </c>
    </row>
    <row r="119" customFormat="false" ht="15" hidden="false" customHeight="false" outlineLevel="0" collapsed="false">
      <c r="A119" s="8" t="s">
        <v>262</v>
      </c>
      <c r="B119" s="8" t="s">
        <v>102</v>
      </c>
      <c r="C119" s="8" t="n">
        <v>0</v>
      </c>
      <c r="D119" s="8" t="n">
        <v>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 t="s">
        <v>152</v>
      </c>
      <c r="Q119" s="8" t="n">
        <v>0</v>
      </c>
      <c r="R119" s="8" t="n">
        <v>0</v>
      </c>
    </row>
    <row r="120" customFormat="false" ht="15" hidden="false" customHeight="false" outlineLevel="0" collapsed="false">
      <c r="A120" s="8" t="s">
        <v>263</v>
      </c>
      <c r="B120" s="8" t="s">
        <v>102</v>
      </c>
      <c r="C120" s="8" t="n">
        <v>0</v>
      </c>
      <c r="D120" s="8" t="n">
        <v>0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 t="s">
        <v>152</v>
      </c>
      <c r="Q120" s="8" t="n">
        <v>0</v>
      </c>
      <c r="R120" s="8" t="n">
        <v>0</v>
      </c>
    </row>
    <row r="121" customFormat="false" ht="15" hidden="false" customHeight="false" outlineLevel="0" collapsed="false">
      <c r="A121" s="8" t="s">
        <v>264</v>
      </c>
      <c r="B121" s="8" t="s">
        <v>102</v>
      </c>
      <c r="C121" s="8" t="n">
        <v>0</v>
      </c>
      <c r="D121" s="8" t="n">
        <v>0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 t="s">
        <v>152</v>
      </c>
      <c r="Q121" s="8" t="n">
        <v>0</v>
      </c>
      <c r="R121" s="8" t="n">
        <v>0</v>
      </c>
    </row>
    <row r="122" customFormat="false" ht="15" hidden="false" customHeight="false" outlineLevel="0" collapsed="false">
      <c r="A122" s="8" t="s">
        <v>265</v>
      </c>
      <c r="B122" s="8" t="s">
        <v>102</v>
      </c>
      <c r="C122" s="8" t="n">
        <v>0</v>
      </c>
      <c r="D122" s="8" t="n">
        <v>0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 t="s">
        <v>152</v>
      </c>
      <c r="Q122" s="8" t="n">
        <v>0</v>
      </c>
      <c r="R122" s="8" t="n">
        <v>0</v>
      </c>
    </row>
    <row r="123" customFormat="false" ht="15" hidden="false" customHeight="false" outlineLevel="0" collapsed="false">
      <c r="A123" s="8" t="s">
        <v>266</v>
      </c>
      <c r="B123" s="8" t="s">
        <v>102</v>
      </c>
      <c r="C123" s="8" t="n">
        <v>0</v>
      </c>
      <c r="D123" s="8" t="n">
        <v>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 t="s">
        <v>152</v>
      </c>
      <c r="Q123" s="8" t="n">
        <v>0</v>
      </c>
      <c r="R123" s="8" t="n">
        <v>0</v>
      </c>
    </row>
    <row r="124" customFormat="false" ht="15" hidden="false" customHeight="false" outlineLevel="0" collapsed="false">
      <c r="A124" s="8" t="s">
        <v>267</v>
      </c>
      <c r="B124" s="8" t="s">
        <v>102</v>
      </c>
      <c r="C124" s="8" t="n">
        <v>0</v>
      </c>
      <c r="D124" s="8" t="n">
        <v>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 t="s">
        <v>152</v>
      </c>
      <c r="Q124" s="8" t="n">
        <v>0</v>
      </c>
      <c r="R124" s="8" t="n">
        <v>0</v>
      </c>
    </row>
    <row r="125" customFormat="false" ht="15" hidden="false" customHeight="false" outlineLevel="0" collapsed="false">
      <c r="A125" s="8" t="s">
        <v>268</v>
      </c>
      <c r="B125" s="8" t="s">
        <v>104</v>
      </c>
      <c r="C125" s="8" t="n">
        <v>0</v>
      </c>
      <c r="D125" s="8" t="n">
        <v>0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 t="s">
        <v>152</v>
      </c>
      <c r="Q125" s="8" t="n">
        <v>0</v>
      </c>
      <c r="R125" s="8" t="n">
        <v>0</v>
      </c>
    </row>
    <row r="126" customFormat="false" ht="15" hidden="false" customHeight="false" outlineLevel="0" collapsed="false">
      <c r="A126" s="8" t="s">
        <v>269</v>
      </c>
      <c r="B126" s="8" t="s">
        <v>104</v>
      </c>
      <c r="C126" s="8" t="n">
        <v>1</v>
      </c>
      <c r="D126" s="8" t="n">
        <v>6330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 t="s">
        <v>48</v>
      </c>
      <c r="P126" s="8" t="s">
        <v>144</v>
      </c>
      <c r="Q126" s="8" t="n">
        <v>1</v>
      </c>
      <c r="R126" s="8" t="n">
        <v>0</v>
      </c>
    </row>
    <row r="127" customFormat="false" ht="15" hidden="false" customHeight="false" outlineLevel="0" collapsed="false">
      <c r="A127" s="8" t="s">
        <v>270</v>
      </c>
      <c r="B127" s="8" t="s">
        <v>104</v>
      </c>
      <c r="C127" s="8" t="n">
        <v>1</v>
      </c>
      <c r="D127" s="8" t="n">
        <v>12498</v>
      </c>
      <c r="E127" s="8"/>
      <c r="F127" s="8" t="s">
        <v>38</v>
      </c>
      <c r="G127" s="8"/>
      <c r="H127" s="8"/>
      <c r="I127" s="8"/>
      <c r="J127" s="8"/>
      <c r="K127" s="8"/>
      <c r="L127" s="8"/>
      <c r="M127" s="8"/>
      <c r="N127" s="8" t="s">
        <v>48</v>
      </c>
      <c r="O127" s="8" t="s">
        <v>48</v>
      </c>
      <c r="P127" s="8" t="s">
        <v>144</v>
      </c>
      <c r="Q127" s="8" t="n">
        <v>1</v>
      </c>
      <c r="R127" s="8" t="n">
        <v>1</v>
      </c>
    </row>
    <row r="128" customFormat="false" ht="15" hidden="false" customHeight="false" outlineLevel="0" collapsed="false">
      <c r="A128" s="8" t="s">
        <v>271</v>
      </c>
      <c r="B128" s="8" t="s">
        <v>104</v>
      </c>
      <c r="C128" s="8" t="n">
        <v>1</v>
      </c>
      <c r="D128" s="8" t="n">
        <v>5778</v>
      </c>
      <c r="E128" s="8"/>
      <c r="F128" s="8"/>
      <c r="G128" s="8"/>
      <c r="H128" s="8"/>
      <c r="I128" s="8"/>
      <c r="J128" s="8"/>
      <c r="K128" s="8"/>
      <c r="L128" s="8"/>
      <c r="M128" s="8"/>
      <c r="N128" s="8" t="s">
        <v>48</v>
      </c>
      <c r="O128" s="8" t="s">
        <v>48</v>
      </c>
      <c r="P128" s="8" t="s">
        <v>144</v>
      </c>
      <c r="Q128" s="8" t="n">
        <v>1</v>
      </c>
      <c r="R128" s="8" t="n">
        <v>0</v>
      </c>
    </row>
    <row r="129" customFormat="false" ht="15" hidden="false" customHeight="false" outlineLevel="0" collapsed="false">
      <c r="A129" s="8" t="s">
        <v>272</v>
      </c>
      <c r="B129" s="8" t="s">
        <v>104</v>
      </c>
      <c r="C129" s="8" t="n">
        <v>1</v>
      </c>
      <c r="D129" s="8" t="n">
        <v>844</v>
      </c>
      <c r="E129" s="8"/>
      <c r="F129" s="8"/>
      <c r="G129" s="8"/>
      <c r="H129" s="8"/>
      <c r="I129" s="8"/>
      <c r="J129" s="8"/>
      <c r="K129" s="8"/>
      <c r="L129" s="8"/>
      <c r="M129" s="8"/>
      <c r="N129" s="8" t="s">
        <v>48</v>
      </c>
      <c r="O129" s="8"/>
      <c r="P129" s="8" t="s">
        <v>144</v>
      </c>
      <c r="Q129" s="8" t="n">
        <v>1</v>
      </c>
      <c r="R129" s="8" t="n">
        <v>0</v>
      </c>
    </row>
    <row r="130" customFormat="false" ht="15" hidden="false" customHeight="false" outlineLevel="0" collapsed="false">
      <c r="A130" s="8" t="s">
        <v>273</v>
      </c>
      <c r="B130" s="8" t="s">
        <v>104</v>
      </c>
      <c r="C130" s="8" t="n">
        <v>1</v>
      </c>
      <c r="D130" s="8" t="n">
        <v>2890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 t="s">
        <v>48</v>
      </c>
      <c r="P130" s="8" t="s">
        <v>144</v>
      </c>
      <c r="Q130" s="8" t="n">
        <v>1</v>
      </c>
      <c r="R130" s="8" t="n">
        <v>0</v>
      </c>
    </row>
    <row r="131" customFormat="false" ht="15" hidden="false" customHeight="false" outlineLevel="0" collapsed="false">
      <c r="A131" s="8" t="s">
        <v>274</v>
      </c>
      <c r="B131" s="8" t="s">
        <v>104</v>
      </c>
      <c r="C131" s="8" t="n">
        <v>1</v>
      </c>
      <c r="D131" s="8" t="n">
        <v>844</v>
      </c>
      <c r="E131" s="8"/>
      <c r="F131" s="8"/>
      <c r="G131" s="8"/>
      <c r="H131" s="8"/>
      <c r="I131" s="8"/>
      <c r="J131" s="8"/>
      <c r="K131" s="8"/>
      <c r="L131" s="8"/>
      <c r="M131" s="8"/>
      <c r="N131" s="8" t="s">
        <v>48</v>
      </c>
      <c r="O131" s="8"/>
      <c r="P131" s="8" t="s">
        <v>144</v>
      </c>
      <c r="Q131" s="8" t="n">
        <v>1</v>
      </c>
      <c r="R131" s="8" t="n">
        <v>0</v>
      </c>
    </row>
    <row r="132" customFormat="false" ht="15" hidden="false" customHeight="false" outlineLevel="0" collapsed="false">
      <c r="A132" s="8" t="s">
        <v>275</v>
      </c>
      <c r="B132" s="8" t="s">
        <v>104</v>
      </c>
      <c r="C132" s="8" t="n">
        <v>1</v>
      </c>
      <c r="D132" s="8" t="n">
        <v>8060</v>
      </c>
      <c r="E132" s="8"/>
      <c r="F132" s="8"/>
      <c r="G132" s="8"/>
      <c r="H132" s="8"/>
      <c r="I132" s="8"/>
      <c r="J132" s="8"/>
      <c r="K132" s="8"/>
      <c r="L132" s="8"/>
      <c r="M132" s="8"/>
      <c r="N132" s="8" t="s">
        <v>48</v>
      </c>
      <c r="O132" s="8" t="s">
        <v>48</v>
      </c>
      <c r="P132" s="8" t="s">
        <v>144</v>
      </c>
      <c r="Q132" s="8" t="n">
        <v>1</v>
      </c>
      <c r="R132" s="8" t="n">
        <v>0</v>
      </c>
    </row>
    <row r="133" customFormat="false" ht="15" hidden="false" customHeight="false" outlineLevel="0" collapsed="false">
      <c r="A133" s="8" t="s">
        <v>276</v>
      </c>
      <c r="B133" s="8" t="s">
        <v>104</v>
      </c>
      <c r="C133" s="8" t="n">
        <v>0</v>
      </c>
      <c r="D133" s="8" t="n">
        <v>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 t="s">
        <v>152</v>
      </c>
      <c r="Q133" s="8" t="n">
        <v>0</v>
      </c>
      <c r="R133" s="8" t="n">
        <v>0</v>
      </c>
    </row>
    <row r="134" customFormat="false" ht="15" hidden="false" customHeight="false" outlineLevel="0" collapsed="false">
      <c r="A134" s="8" t="s">
        <v>277</v>
      </c>
      <c r="B134" s="8" t="s">
        <v>104</v>
      </c>
      <c r="C134" s="8" t="n">
        <v>0</v>
      </c>
      <c r="D134" s="8" t="n">
        <v>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 t="s">
        <v>152</v>
      </c>
      <c r="Q134" s="8" t="n">
        <v>0</v>
      </c>
      <c r="R134" s="8" t="n">
        <v>0</v>
      </c>
    </row>
    <row r="135" customFormat="false" ht="15" hidden="false" customHeight="false" outlineLevel="0" collapsed="false">
      <c r="A135" s="8" t="s">
        <v>278</v>
      </c>
      <c r="B135" s="8" t="s">
        <v>104</v>
      </c>
      <c r="C135" s="8" t="n">
        <v>0</v>
      </c>
      <c r="D135" s="8" t="n">
        <v>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 t="s">
        <v>152</v>
      </c>
      <c r="Q135" s="8" t="n">
        <v>0</v>
      </c>
      <c r="R135" s="8" t="n">
        <v>0</v>
      </c>
    </row>
    <row r="136" customFormat="false" ht="15" hidden="false" customHeight="false" outlineLevel="0" collapsed="false">
      <c r="A136" s="8" t="s">
        <v>279</v>
      </c>
      <c r="B136" s="8" t="s">
        <v>103</v>
      </c>
      <c r="C136" s="8" t="n">
        <v>1</v>
      </c>
      <c r="D136" s="8" t="n">
        <v>5676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 t="s">
        <v>48</v>
      </c>
      <c r="P136" s="8" t="s">
        <v>144</v>
      </c>
      <c r="Q136" s="8" t="n">
        <v>1</v>
      </c>
      <c r="R136" s="8" t="n">
        <v>0</v>
      </c>
    </row>
    <row r="137" customFormat="false" ht="15" hidden="false" customHeight="false" outlineLevel="0" collapsed="false">
      <c r="A137" s="8" t="s">
        <v>280</v>
      </c>
      <c r="B137" s="8" t="s">
        <v>103</v>
      </c>
      <c r="C137" s="8" t="n">
        <v>0</v>
      </c>
      <c r="D137" s="8" t="n">
        <v>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 t="s">
        <v>152</v>
      </c>
      <c r="Q137" s="8" t="n">
        <v>0</v>
      </c>
      <c r="R137" s="8" t="n">
        <v>0</v>
      </c>
    </row>
    <row r="138" customFormat="false" ht="15" hidden="false" customHeight="false" outlineLevel="0" collapsed="false">
      <c r="A138" s="8" t="s">
        <v>281</v>
      </c>
      <c r="B138" s="8" t="s">
        <v>103</v>
      </c>
      <c r="C138" s="8" t="n">
        <v>0</v>
      </c>
      <c r="D138" s="8" t="n">
        <v>0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 t="s">
        <v>152</v>
      </c>
      <c r="Q138" s="8" t="n">
        <v>0</v>
      </c>
      <c r="R138" s="8" t="n">
        <v>0</v>
      </c>
    </row>
    <row r="139" customFormat="false" ht="15" hidden="false" customHeight="false" outlineLevel="0" collapsed="false">
      <c r="A139" s="8" t="s">
        <v>282</v>
      </c>
      <c r="B139" s="8" t="s">
        <v>103</v>
      </c>
      <c r="C139" s="8" t="n">
        <v>0</v>
      </c>
      <c r="D139" s="8" t="n">
        <v>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 t="s">
        <v>152</v>
      </c>
      <c r="Q139" s="8" t="n">
        <v>0</v>
      </c>
      <c r="R139" s="8" t="n">
        <v>0</v>
      </c>
    </row>
    <row r="140" customFormat="false" ht="15" hidden="false" customHeight="false" outlineLevel="0" collapsed="false">
      <c r="A140" s="8" t="s">
        <v>283</v>
      </c>
      <c r="B140" s="8" t="s">
        <v>103</v>
      </c>
      <c r="C140" s="8" t="n">
        <v>1</v>
      </c>
      <c r="D140" s="8" t="n">
        <v>6330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 t="s">
        <v>48</v>
      </c>
      <c r="P140" s="8" t="s">
        <v>144</v>
      </c>
      <c r="Q140" s="8" t="n">
        <v>1</v>
      </c>
      <c r="R140" s="8" t="n">
        <v>0</v>
      </c>
    </row>
    <row r="141" customFormat="false" ht="15" hidden="false" customHeight="false" outlineLevel="0" collapsed="false">
      <c r="A141" s="8" t="s">
        <v>284</v>
      </c>
      <c r="B141" s="8" t="s">
        <v>103</v>
      </c>
      <c r="C141" s="8" t="n">
        <v>0</v>
      </c>
      <c r="D141" s="8" t="n">
        <v>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 t="s">
        <v>152</v>
      </c>
      <c r="Q141" s="8" t="n">
        <v>0</v>
      </c>
      <c r="R141" s="8" t="n">
        <v>0</v>
      </c>
    </row>
    <row r="142" customFormat="false" ht="15" hidden="false" customHeight="false" outlineLevel="0" collapsed="false">
      <c r="A142" s="8" t="s">
        <v>285</v>
      </c>
      <c r="B142" s="8" t="s">
        <v>103</v>
      </c>
      <c r="C142" s="8" t="n">
        <v>1</v>
      </c>
      <c r="D142" s="8" t="n">
        <v>12498</v>
      </c>
      <c r="E142" s="8"/>
      <c r="F142" s="8" t="s">
        <v>38</v>
      </c>
      <c r="G142" s="8"/>
      <c r="H142" s="8"/>
      <c r="I142" s="8"/>
      <c r="J142" s="8"/>
      <c r="K142" s="8"/>
      <c r="L142" s="8"/>
      <c r="M142" s="8"/>
      <c r="N142" s="8" t="s">
        <v>48</v>
      </c>
      <c r="O142" s="8" t="s">
        <v>48</v>
      </c>
      <c r="P142" s="8" t="s">
        <v>144</v>
      </c>
      <c r="Q142" s="8" t="n">
        <v>1</v>
      </c>
      <c r="R142" s="8" t="n">
        <v>1</v>
      </c>
    </row>
    <row r="143" customFormat="false" ht="15" hidden="false" customHeight="false" outlineLevel="0" collapsed="false">
      <c r="A143" s="8" t="s">
        <v>286</v>
      </c>
      <c r="B143" s="8" t="s">
        <v>103</v>
      </c>
      <c r="C143" s="8" t="n">
        <v>1</v>
      </c>
      <c r="D143" s="8" t="n">
        <v>5778</v>
      </c>
      <c r="E143" s="8"/>
      <c r="F143" s="8"/>
      <c r="G143" s="8"/>
      <c r="H143" s="8"/>
      <c r="I143" s="8"/>
      <c r="J143" s="8"/>
      <c r="K143" s="8"/>
      <c r="L143" s="8"/>
      <c r="M143" s="8"/>
      <c r="N143" s="8" t="s">
        <v>48</v>
      </c>
      <c r="O143" s="8" t="s">
        <v>48</v>
      </c>
      <c r="P143" s="8" t="s">
        <v>144</v>
      </c>
      <c r="Q143" s="8" t="n">
        <v>1</v>
      </c>
      <c r="R143" s="8" t="n">
        <v>0</v>
      </c>
    </row>
    <row r="144" customFormat="false" ht="15" hidden="false" customHeight="false" outlineLevel="0" collapsed="false">
      <c r="A144" s="8" t="s">
        <v>287</v>
      </c>
      <c r="B144" s="8" t="s">
        <v>103</v>
      </c>
      <c r="C144" s="8" t="n">
        <v>1</v>
      </c>
      <c r="D144" s="8" t="n">
        <v>844</v>
      </c>
      <c r="E144" s="8"/>
      <c r="F144" s="8"/>
      <c r="G144" s="8"/>
      <c r="H144" s="8"/>
      <c r="I144" s="8"/>
      <c r="J144" s="8"/>
      <c r="K144" s="8"/>
      <c r="L144" s="8"/>
      <c r="M144" s="8"/>
      <c r="N144" s="8" t="s">
        <v>48</v>
      </c>
      <c r="O144" s="8"/>
      <c r="P144" s="8" t="s">
        <v>144</v>
      </c>
      <c r="Q144" s="8" t="n">
        <v>1</v>
      </c>
      <c r="R144" s="8" t="n">
        <v>0</v>
      </c>
    </row>
    <row r="145" customFormat="false" ht="15" hidden="false" customHeight="false" outlineLevel="0" collapsed="false">
      <c r="A145" s="8" t="s">
        <v>288</v>
      </c>
      <c r="B145" s="8" t="s">
        <v>103</v>
      </c>
      <c r="C145" s="8" t="n">
        <v>1</v>
      </c>
      <c r="D145" s="8" t="n">
        <v>2890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 t="s">
        <v>48</v>
      </c>
      <c r="P145" s="8" t="s">
        <v>144</v>
      </c>
      <c r="Q145" s="8" t="n">
        <v>1</v>
      </c>
      <c r="R145" s="8" t="n">
        <v>0</v>
      </c>
    </row>
    <row r="146" customFormat="false" ht="15" hidden="false" customHeight="false" outlineLevel="0" collapsed="false">
      <c r="A146" s="8" t="s">
        <v>289</v>
      </c>
      <c r="B146" s="8" t="s">
        <v>103</v>
      </c>
      <c r="C146" s="8" t="n">
        <v>1</v>
      </c>
      <c r="D146" s="8" t="n">
        <v>844</v>
      </c>
      <c r="E146" s="8"/>
      <c r="F146" s="8"/>
      <c r="G146" s="8"/>
      <c r="H146" s="8"/>
      <c r="I146" s="8"/>
      <c r="J146" s="8"/>
      <c r="K146" s="8"/>
      <c r="L146" s="8"/>
      <c r="M146" s="8"/>
      <c r="N146" s="8" t="s">
        <v>48</v>
      </c>
      <c r="O146" s="8"/>
      <c r="P146" s="8" t="s">
        <v>144</v>
      </c>
      <c r="Q146" s="8" t="n">
        <v>1</v>
      </c>
      <c r="R146" s="8" t="n">
        <v>0</v>
      </c>
    </row>
    <row r="147" customFormat="false" ht="15" hidden="false" customHeight="false" outlineLevel="0" collapsed="false">
      <c r="A147" s="8" t="s">
        <v>290</v>
      </c>
      <c r="B147" s="8" t="s">
        <v>103</v>
      </c>
      <c r="C147" s="8" t="n">
        <v>1</v>
      </c>
      <c r="D147" s="8" t="n">
        <v>8060</v>
      </c>
      <c r="E147" s="8"/>
      <c r="F147" s="8"/>
      <c r="G147" s="8"/>
      <c r="H147" s="8"/>
      <c r="I147" s="8"/>
      <c r="J147" s="8"/>
      <c r="K147" s="8"/>
      <c r="L147" s="8"/>
      <c r="M147" s="8"/>
      <c r="N147" s="8" t="s">
        <v>48</v>
      </c>
      <c r="O147" s="8" t="s">
        <v>48</v>
      </c>
      <c r="P147" s="8" t="s">
        <v>144</v>
      </c>
      <c r="Q147" s="8" t="n">
        <v>1</v>
      </c>
      <c r="R147" s="8" t="n">
        <v>0</v>
      </c>
    </row>
    <row r="148" customFormat="false" ht="15" hidden="false" customHeight="false" outlineLevel="0" collapsed="false">
      <c r="A148" s="8" t="s">
        <v>291</v>
      </c>
      <c r="B148" s="8" t="s">
        <v>103</v>
      </c>
      <c r="C148" s="8" t="n">
        <v>1</v>
      </c>
      <c r="D148" s="8" t="n">
        <v>3216</v>
      </c>
      <c r="E148" s="8"/>
      <c r="F148" s="8"/>
      <c r="G148" s="8"/>
      <c r="H148" s="8"/>
      <c r="I148" s="8"/>
      <c r="J148" s="8"/>
      <c r="K148" s="8"/>
      <c r="L148" s="8"/>
      <c r="M148" s="8"/>
      <c r="N148" s="8" t="s">
        <v>48</v>
      </c>
      <c r="O148" s="8"/>
      <c r="P148" s="8" t="s">
        <v>144</v>
      </c>
      <c r="Q148" s="8" t="n">
        <v>1</v>
      </c>
      <c r="R148" s="8" t="n">
        <v>0</v>
      </c>
    </row>
    <row r="149" customFormat="false" ht="15" hidden="false" customHeight="false" outlineLevel="0" collapsed="false">
      <c r="A149" s="8" t="s">
        <v>292</v>
      </c>
      <c r="B149" s="8" t="s">
        <v>105</v>
      </c>
      <c r="C149" s="8" t="n">
        <v>0</v>
      </c>
      <c r="D149" s="8" t="n">
        <v>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 t="s">
        <v>152</v>
      </c>
      <c r="Q149" s="8" t="n">
        <v>0</v>
      </c>
      <c r="R149" s="8" t="n">
        <v>0</v>
      </c>
    </row>
    <row r="150" customFormat="false" ht="15" hidden="false" customHeight="false" outlineLevel="0" collapsed="false">
      <c r="A150" s="8" t="s">
        <v>293</v>
      </c>
      <c r="B150" s="8" t="s">
        <v>105</v>
      </c>
      <c r="C150" s="8" t="n">
        <v>1</v>
      </c>
      <c r="D150" s="8" t="n">
        <v>6330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 t="s">
        <v>48</v>
      </c>
      <c r="P150" s="8" t="s">
        <v>144</v>
      </c>
      <c r="Q150" s="8" t="n">
        <v>1</v>
      </c>
      <c r="R150" s="8" t="n">
        <v>0</v>
      </c>
    </row>
    <row r="151" customFormat="false" ht="15" hidden="false" customHeight="false" outlineLevel="0" collapsed="false">
      <c r="A151" s="8" t="s">
        <v>294</v>
      </c>
      <c r="B151" s="8" t="s">
        <v>105</v>
      </c>
      <c r="C151" s="8" t="n">
        <v>1</v>
      </c>
      <c r="D151" s="8" t="n">
        <v>12498</v>
      </c>
      <c r="E151" s="8"/>
      <c r="F151" s="8" t="s">
        <v>38</v>
      </c>
      <c r="G151" s="8"/>
      <c r="H151" s="8"/>
      <c r="I151" s="8"/>
      <c r="J151" s="8"/>
      <c r="K151" s="8"/>
      <c r="L151" s="8"/>
      <c r="M151" s="8"/>
      <c r="N151" s="8" t="s">
        <v>48</v>
      </c>
      <c r="O151" s="8" t="s">
        <v>48</v>
      </c>
      <c r="P151" s="8" t="s">
        <v>144</v>
      </c>
      <c r="Q151" s="8" t="n">
        <v>1</v>
      </c>
      <c r="R151" s="8" t="n">
        <v>1</v>
      </c>
    </row>
    <row r="152" customFormat="false" ht="15" hidden="false" customHeight="false" outlineLevel="0" collapsed="false">
      <c r="A152" s="8" t="s">
        <v>295</v>
      </c>
      <c r="B152" s="8" t="s">
        <v>105</v>
      </c>
      <c r="C152" s="8" t="n">
        <v>1</v>
      </c>
      <c r="D152" s="8" t="n">
        <v>5778</v>
      </c>
      <c r="E152" s="8"/>
      <c r="F152" s="8"/>
      <c r="G152" s="8"/>
      <c r="H152" s="8"/>
      <c r="I152" s="8"/>
      <c r="J152" s="8"/>
      <c r="K152" s="8"/>
      <c r="L152" s="8"/>
      <c r="M152" s="8"/>
      <c r="N152" s="8" t="s">
        <v>48</v>
      </c>
      <c r="O152" s="8" t="s">
        <v>48</v>
      </c>
      <c r="P152" s="8" t="s">
        <v>144</v>
      </c>
      <c r="Q152" s="8" t="n">
        <v>1</v>
      </c>
      <c r="R152" s="8" t="n">
        <v>0</v>
      </c>
    </row>
    <row r="153" customFormat="false" ht="15" hidden="false" customHeight="false" outlineLevel="0" collapsed="false">
      <c r="A153" s="8" t="s">
        <v>296</v>
      </c>
      <c r="B153" s="8" t="s">
        <v>105</v>
      </c>
      <c r="C153" s="8" t="n">
        <v>1</v>
      </c>
      <c r="D153" s="8" t="n">
        <v>844</v>
      </c>
      <c r="E153" s="8"/>
      <c r="F153" s="8"/>
      <c r="G153" s="8"/>
      <c r="H153" s="8"/>
      <c r="I153" s="8"/>
      <c r="J153" s="8"/>
      <c r="K153" s="8"/>
      <c r="L153" s="8"/>
      <c r="M153" s="8"/>
      <c r="N153" s="8" t="s">
        <v>48</v>
      </c>
      <c r="O153" s="8"/>
      <c r="P153" s="8" t="s">
        <v>144</v>
      </c>
      <c r="Q153" s="8" t="n">
        <v>1</v>
      </c>
      <c r="R153" s="8" t="n">
        <v>0</v>
      </c>
    </row>
    <row r="154" customFormat="false" ht="15" hidden="false" customHeight="false" outlineLevel="0" collapsed="false">
      <c r="A154" s="8" t="s">
        <v>297</v>
      </c>
      <c r="B154" s="8" t="s">
        <v>105</v>
      </c>
      <c r="C154" s="8" t="n">
        <v>1</v>
      </c>
      <c r="D154" s="8" t="n">
        <v>2890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 t="s">
        <v>48</v>
      </c>
      <c r="P154" s="8" t="s">
        <v>144</v>
      </c>
      <c r="Q154" s="8" t="n">
        <v>1</v>
      </c>
      <c r="R154" s="8" t="n">
        <v>0</v>
      </c>
    </row>
    <row r="155" customFormat="false" ht="15" hidden="false" customHeight="false" outlineLevel="0" collapsed="false">
      <c r="A155" s="8" t="s">
        <v>298</v>
      </c>
      <c r="B155" s="8" t="s">
        <v>105</v>
      </c>
      <c r="C155" s="8" t="n">
        <v>1</v>
      </c>
      <c r="D155" s="8" t="n">
        <v>844</v>
      </c>
      <c r="E155" s="8"/>
      <c r="F155" s="8"/>
      <c r="G155" s="8"/>
      <c r="H155" s="8"/>
      <c r="I155" s="8"/>
      <c r="J155" s="8"/>
      <c r="K155" s="8"/>
      <c r="L155" s="8"/>
      <c r="M155" s="8"/>
      <c r="N155" s="8" t="s">
        <v>48</v>
      </c>
      <c r="O155" s="8"/>
      <c r="P155" s="8" t="s">
        <v>144</v>
      </c>
      <c r="Q155" s="8" t="n">
        <v>1</v>
      </c>
      <c r="R155" s="8" t="n">
        <v>0</v>
      </c>
    </row>
    <row r="156" customFormat="false" ht="15" hidden="false" customHeight="false" outlineLevel="0" collapsed="false">
      <c r="A156" s="8" t="s">
        <v>299</v>
      </c>
      <c r="B156" s="8" t="s">
        <v>105</v>
      </c>
      <c r="C156" s="8" t="n">
        <v>1</v>
      </c>
      <c r="D156" s="8" t="n">
        <v>8060</v>
      </c>
      <c r="E156" s="8"/>
      <c r="F156" s="8"/>
      <c r="G156" s="8"/>
      <c r="H156" s="8"/>
      <c r="I156" s="8"/>
      <c r="J156" s="8"/>
      <c r="K156" s="8"/>
      <c r="L156" s="8"/>
      <c r="M156" s="8"/>
      <c r="N156" s="8" t="s">
        <v>48</v>
      </c>
      <c r="O156" s="8" t="s">
        <v>48</v>
      </c>
      <c r="P156" s="8" t="s">
        <v>144</v>
      </c>
      <c r="Q156" s="8" t="n">
        <v>1</v>
      </c>
      <c r="R156" s="8" t="n">
        <v>0</v>
      </c>
    </row>
    <row r="157" customFormat="false" ht="15" hidden="false" customHeight="false" outlineLevel="0" collapsed="false">
      <c r="A157" s="8" t="s">
        <v>300</v>
      </c>
      <c r="B157" s="8" t="s">
        <v>105</v>
      </c>
      <c r="C157" s="8" t="n">
        <v>0</v>
      </c>
      <c r="D157" s="8" t="n">
        <v>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 t="s">
        <v>152</v>
      </c>
      <c r="Q157" s="8" t="n">
        <v>0</v>
      </c>
      <c r="R157" s="8" t="n">
        <v>0</v>
      </c>
    </row>
    <row r="158" customFormat="false" ht="15" hidden="false" customHeight="false" outlineLevel="0" collapsed="false">
      <c r="A158" s="8" t="s">
        <v>301</v>
      </c>
      <c r="B158" s="8" t="s">
        <v>106</v>
      </c>
      <c r="C158" s="8" t="n">
        <v>0</v>
      </c>
      <c r="D158" s="8" t="n">
        <v>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 t="s">
        <v>152</v>
      </c>
      <c r="Q158" s="8" t="n">
        <v>0</v>
      </c>
      <c r="R158" s="8" t="n">
        <v>0</v>
      </c>
    </row>
    <row r="159" customFormat="false" ht="15" hidden="false" customHeight="false" outlineLevel="0" collapsed="false">
      <c r="A159" s="8" t="s">
        <v>302</v>
      </c>
      <c r="B159" s="8" t="s">
        <v>106</v>
      </c>
      <c r="C159" s="8" t="n">
        <v>0</v>
      </c>
      <c r="D159" s="8" t="n">
        <v>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 t="s">
        <v>152</v>
      </c>
      <c r="Q159" s="8" t="n">
        <v>0</v>
      </c>
      <c r="R159" s="8" t="n">
        <v>0</v>
      </c>
    </row>
    <row r="160" customFormat="false" ht="15" hidden="false" customHeight="false" outlineLevel="0" collapsed="false">
      <c r="A160" s="8" t="s">
        <v>303</v>
      </c>
      <c r="B160" s="8" t="s">
        <v>106</v>
      </c>
      <c r="C160" s="8" t="n">
        <v>0</v>
      </c>
      <c r="D160" s="8" t="n">
        <v>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 t="s">
        <v>152</v>
      </c>
      <c r="Q160" s="8" t="n">
        <v>0</v>
      </c>
      <c r="R160" s="8" t="n">
        <v>0</v>
      </c>
    </row>
    <row r="161" customFormat="false" ht="15" hidden="false" customHeight="false" outlineLevel="0" collapsed="false">
      <c r="A161" s="8" t="s">
        <v>304</v>
      </c>
      <c r="B161" s="8" t="s">
        <v>106</v>
      </c>
      <c r="C161" s="8" t="n">
        <v>0</v>
      </c>
      <c r="D161" s="8" t="n">
        <v>0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 t="s">
        <v>152</v>
      </c>
      <c r="Q161" s="8" t="n">
        <v>0</v>
      </c>
      <c r="R161" s="8" t="n">
        <v>0</v>
      </c>
    </row>
    <row r="162" customFormat="false" ht="15" hidden="false" customHeight="false" outlineLevel="0" collapsed="false">
      <c r="A162" s="8" t="s">
        <v>305</v>
      </c>
      <c r="B162" s="8" t="s">
        <v>106</v>
      </c>
      <c r="C162" s="8" t="n">
        <v>0</v>
      </c>
      <c r="D162" s="8" t="n">
        <v>0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 t="s">
        <v>152</v>
      </c>
      <c r="Q162" s="8" t="n">
        <v>0</v>
      </c>
      <c r="R162" s="8" t="n">
        <v>0</v>
      </c>
    </row>
    <row r="163" customFormat="false" ht="15" hidden="false" customHeight="false" outlineLevel="0" collapsed="false">
      <c r="A163" s="8" t="s">
        <v>306</v>
      </c>
      <c r="B163" s="8" t="s">
        <v>106</v>
      </c>
      <c r="C163" s="8" t="n">
        <v>0</v>
      </c>
      <c r="D163" s="8" t="n">
        <v>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 t="s">
        <v>152</v>
      </c>
      <c r="Q163" s="8" t="n">
        <v>0</v>
      </c>
      <c r="R163" s="8" t="n">
        <v>0</v>
      </c>
    </row>
    <row r="164" customFormat="false" ht="15" hidden="false" customHeight="false" outlineLevel="0" collapsed="false">
      <c r="A164" s="8" t="s">
        <v>307</v>
      </c>
      <c r="B164" s="8" t="s">
        <v>106</v>
      </c>
      <c r="C164" s="8" t="n">
        <v>0</v>
      </c>
      <c r="D164" s="8" t="n">
        <v>0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 t="s">
        <v>152</v>
      </c>
      <c r="Q164" s="8" t="n">
        <v>0</v>
      </c>
      <c r="R164" s="8" t="n">
        <v>0</v>
      </c>
    </row>
    <row r="165" customFormat="false" ht="15" hidden="false" customHeight="false" outlineLevel="0" collapsed="false">
      <c r="A165" s="8" t="s">
        <v>308</v>
      </c>
      <c r="B165" s="8" t="s">
        <v>106</v>
      </c>
      <c r="C165" s="8" t="n">
        <v>0</v>
      </c>
      <c r="D165" s="8" t="n">
        <v>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 t="s">
        <v>152</v>
      </c>
      <c r="Q165" s="8" t="n">
        <v>0</v>
      </c>
      <c r="R165" s="8" t="n">
        <v>0</v>
      </c>
    </row>
    <row r="166" customFormat="false" ht="15" hidden="false" customHeight="false" outlineLevel="0" collapsed="false">
      <c r="A166" s="8" t="s">
        <v>309</v>
      </c>
      <c r="B166" s="8" t="s">
        <v>106</v>
      </c>
      <c r="C166" s="8" t="n">
        <v>0</v>
      </c>
      <c r="D166" s="8" t="n">
        <v>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 t="s">
        <v>152</v>
      </c>
      <c r="Q166" s="8" t="n">
        <v>0</v>
      </c>
      <c r="R166" s="8" t="n">
        <v>0</v>
      </c>
    </row>
    <row r="167" customFormat="false" ht="15" hidden="false" customHeight="false" outlineLevel="0" collapsed="false">
      <c r="A167" s="8" t="s">
        <v>310</v>
      </c>
      <c r="B167" s="8" t="s">
        <v>106</v>
      </c>
      <c r="C167" s="8" t="n">
        <v>0</v>
      </c>
      <c r="D167" s="8" t="n">
        <v>0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 t="s">
        <v>152</v>
      </c>
      <c r="Q167" s="8" t="n">
        <v>0</v>
      </c>
      <c r="R167" s="8" t="n">
        <v>0</v>
      </c>
    </row>
    <row r="168" customFormat="false" ht="15" hidden="false" customHeight="false" outlineLevel="0" collapsed="false">
      <c r="A168" s="8" t="s">
        <v>311</v>
      </c>
      <c r="B168" s="8" t="s">
        <v>106</v>
      </c>
      <c r="C168" s="8" t="n">
        <v>0</v>
      </c>
      <c r="D168" s="8" t="n">
        <v>0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 t="s">
        <v>152</v>
      </c>
      <c r="Q168" s="8" t="n">
        <v>0</v>
      </c>
      <c r="R168" s="8" t="n">
        <v>0</v>
      </c>
    </row>
    <row r="169" customFormat="false" ht="15" hidden="false" customHeight="false" outlineLevel="0" collapsed="false">
      <c r="A169" s="8" t="s">
        <v>312</v>
      </c>
      <c r="B169" s="8" t="s">
        <v>106</v>
      </c>
      <c r="C169" s="8" t="n">
        <v>0</v>
      </c>
      <c r="D169" s="8" t="n">
        <v>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 t="s">
        <v>152</v>
      </c>
      <c r="Q169" s="8" t="n">
        <v>0</v>
      </c>
      <c r="R169" s="8" t="n">
        <v>0</v>
      </c>
    </row>
    <row r="170" customFormat="false" ht="15" hidden="false" customHeight="false" outlineLevel="0" collapsed="false">
      <c r="A170" s="8" t="s">
        <v>313</v>
      </c>
      <c r="B170" s="8" t="s">
        <v>108</v>
      </c>
      <c r="C170" s="8" t="n">
        <v>1</v>
      </c>
      <c r="D170" s="8" t="n">
        <v>6330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 t="s">
        <v>48</v>
      </c>
      <c r="P170" s="8" t="s">
        <v>144</v>
      </c>
      <c r="Q170" s="8" t="n">
        <v>1</v>
      </c>
      <c r="R170" s="8" t="n">
        <v>0</v>
      </c>
    </row>
    <row r="171" customFormat="false" ht="15" hidden="false" customHeight="false" outlineLevel="0" collapsed="false">
      <c r="A171" s="8" t="s">
        <v>314</v>
      </c>
      <c r="B171" s="8" t="s">
        <v>108</v>
      </c>
      <c r="C171" s="8" t="n">
        <v>1</v>
      </c>
      <c r="D171" s="8" t="n">
        <v>12498</v>
      </c>
      <c r="E171" s="8"/>
      <c r="F171" s="8" t="s">
        <v>38</v>
      </c>
      <c r="G171" s="8"/>
      <c r="H171" s="8"/>
      <c r="I171" s="8"/>
      <c r="J171" s="8"/>
      <c r="K171" s="8"/>
      <c r="L171" s="8"/>
      <c r="M171" s="8"/>
      <c r="N171" s="8" t="s">
        <v>48</v>
      </c>
      <c r="O171" s="8" t="s">
        <v>48</v>
      </c>
      <c r="P171" s="8" t="s">
        <v>144</v>
      </c>
      <c r="Q171" s="8" t="n">
        <v>1</v>
      </c>
      <c r="R171" s="8" t="n">
        <v>1</v>
      </c>
    </row>
    <row r="172" customFormat="false" ht="15" hidden="false" customHeight="false" outlineLevel="0" collapsed="false">
      <c r="A172" s="8" t="s">
        <v>315</v>
      </c>
      <c r="B172" s="8" t="s">
        <v>108</v>
      </c>
      <c r="C172" s="8" t="n">
        <v>1</v>
      </c>
      <c r="D172" s="8" t="n">
        <v>5778</v>
      </c>
      <c r="E172" s="8"/>
      <c r="F172" s="8"/>
      <c r="G172" s="8"/>
      <c r="H172" s="8"/>
      <c r="I172" s="8"/>
      <c r="J172" s="8"/>
      <c r="K172" s="8"/>
      <c r="L172" s="8"/>
      <c r="M172" s="8"/>
      <c r="N172" s="8" t="s">
        <v>48</v>
      </c>
      <c r="O172" s="8" t="s">
        <v>48</v>
      </c>
      <c r="P172" s="8" t="s">
        <v>144</v>
      </c>
      <c r="Q172" s="8" t="n">
        <v>1</v>
      </c>
      <c r="R172" s="8" t="n">
        <v>0</v>
      </c>
    </row>
    <row r="173" customFormat="false" ht="15" hidden="false" customHeight="false" outlineLevel="0" collapsed="false">
      <c r="A173" s="8" t="s">
        <v>316</v>
      </c>
      <c r="B173" s="8" t="s">
        <v>108</v>
      </c>
      <c r="C173" s="8" t="n">
        <v>1</v>
      </c>
      <c r="D173" s="8" t="n">
        <v>844</v>
      </c>
      <c r="E173" s="8"/>
      <c r="F173" s="8"/>
      <c r="G173" s="8"/>
      <c r="H173" s="8"/>
      <c r="I173" s="8"/>
      <c r="J173" s="8"/>
      <c r="K173" s="8"/>
      <c r="L173" s="8"/>
      <c r="M173" s="8"/>
      <c r="N173" s="8" t="s">
        <v>48</v>
      </c>
      <c r="O173" s="8"/>
      <c r="P173" s="8" t="s">
        <v>144</v>
      </c>
      <c r="Q173" s="8" t="n">
        <v>1</v>
      </c>
      <c r="R173" s="8" t="n">
        <v>0</v>
      </c>
    </row>
    <row r="174" customFormat="false" ht="15" hidden="false" customHeight="false" outlineLevel="0" collapsed="false">
      <c r="A174" s="8" t="s">
        <v>317</v>
      </c>
      <c r="B174" s="8" t="s">
        <v>108</v>
      </c>
      <c r="C174" s="8" t="n">
        <v>1</v>
      </c>
      <c r="D174" s="8" t="n">
        <v>2890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 t="s">
        <v>48</v>
      </c>
      <c r="P174" s="8" t="s">
        <v>144</v>
      </c>
      <c r="Q174" s="8" t="n">
        <v>1</v>
      </c>
      <c r="R174" s="8" t="n">
        <v>0</v>
      </c>
    </row>
    <row r="175" customFormat="false" ht="15" hidden="false" customHeight="false" outlineLevel="0" collapsed="false">
      <c r="A175" s="8" t="s">
        <v>318</v>
      </c>
      <c r="B175" s="8" t="s">
        <v>108</v>
      </c>
      <c r="C175" s="8" t="n">
        <v>1</v>
      </c>
      <c r="D175" s="8" t="n">
        <v>844</v>
      </c>
      <c r="E175" s="8"/>
      <c r="F175" s="8"/>
      <c r="G175" s="8"/>
      <c r="H175" s="8"/>
      <c r="I175" s="8"/>
      <c r="J175" s="8"/>
      <c r="K175" s="8"/>
      <c r="L175" s="8"/>
      <c r="M175" s="8"/>
      <c r="N175" s="8" t="s">
        <v>48</v>
      </c>
      <c r="O175" s="8"/>
      <c r="P175" s="8" t="s">
        <v>144</v>
      </c>
      <c r="Q175" s="8" t="n">
        <v>1</v>
      </c>
      <c r="R175" s="8" t="n">
        <v>0</v>
      </c>
    </row>
    <row r="176" customFormat="false" ht="15" hidden="false" customHeight="false" outlineLevel="0" collapsed="false">
      <c r="A176" s="8" t="s">
        <v>319</v>
      </c>
      <c r="B176" s="8" t="s">
        <v>108</v>
      </c>
      <c r="C176" s="8" t="n">
        <v>1</v>
      </c>
      <c r="D176" s="8" t="n">
        <v>8060</v>
      </c>
      <c r="E176" s="8"/>
      <c r="F176" s="8"/>
      <c r="G176" s="8"/>
      <c r="H176" s="8"/>
      <c r="I176" s="8"/>
      <c r="J176" s="8"/>
      <c r="K176" s="8"/>
      <c r="L176" s="8"/>
      <c r="M176" s="8"/>
      <c r="N176" s="8" t="s">
        <v>48</v>
      </c>
      <c r="O176" s="8" t="s">
        <v>48</v>
      </c>
      <c r="P176" s="8" t="s">
        <v>144</v>
      </c>
      <c r="Q176" s="8" t="n">
        <v>1</v>
      </c>
      <c r="R176" s="8" t="n">
        <v>0</v>
      </c>
    </row>
    <row r="177" customFormat="false" ht="15" hidden="false" customHeight="false" outlineLevel="0" collapsed="false">
      <c r="A177" s="8" t="s">
        <v>320</v>
      </c>
      <c r="B177" s="8" t="s">
        <v>108</v>
      </c>
      <c r="C177" s="8" t="n">
        <v>0</v>
      </c>
      <c r="D177" s="8" t="n">
        <v>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 t="s">
        <v>152</v>
      </c>
      <c r="Q177" s="8" t="n">
        <v>0</v>
      </c>
      <c r="R177" s="8" t="n">
        <v>0</v>
      </c>
    </row>
    <row r="178" customFormat="false" ht="15" hidden="false" customHeight="false" outlineLevel="0" collapsed="false">
      <c r="A178" s="8" t="s">
        <v>321</v>
      </c>
      <c r="B178" s="8" t="s">
        <v>108</v>
      </c>
      <c r="C178" s="8" t="n">
        <v>0</v>
      </c>
      <c r="D178" s="8" t="n">
        <v>0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 t="s">
        <v>152</v>
      </c>
      <c r="Q178" s="8" t="n">
        <v>0</v>
      </c>
      <c r="R178" s="8" t="n">
        <v>0</v>
      </c>
    </row>
    <row r="179" customFormat="false" ht="15" hidden="false" customHeight="false" outlineLevel="0" collapsed="false">
      <c r="A179" s="8" t="s">
        <v>322</v>
      </c>
      <c r="B179" s="8" t="s">
        <v>107</v>
      </c>
      <c r="C179" s="8" t="n">
        <v>1</v>
      </c>
      <c r="D179" s="8" t="n">
        <v>5676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 t="s">
        <v>48</v>
      </c>
      <c r="P179" s="8" t="s">
        <v>144</v>
      </c>
      <c r="Q179" s="8" t="n">
        <v>1</v>
      </c>
      <c r="R179" s="8" t="n">
        <v>0</v>
      </c>
    </row>
    <row r="180" customFormat="false" ht="15" hidden="false" customHeight="false" outlineLevel="0" collapsed="false">
      <c r="A180" s="8" t="s">
        <v>323</v>
      </c>
      <c r="B180" s="8" t="s">
        <v>107</v>
      </c>
      <c r="C180" s="8" t="n">
        <v>0</v>
      </c>
      <c r="D180" s="8" t="n">
        <v>0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 t="s">
        <v>152</v>
      </c>
      <c r="Q180" s="8" t="n">
        <v>0</v>
      </c>
      <c r="R180" s="8" t="n">
        <v>0</v>
      </c>
    </row>
    <row r="181" customFormat="false" ht="15" hidden="false" customHeight="false" outlineLevel="0" collapsed="false">
      <c r="A181" s="8" t="s">
        <v>324</v>
      </c>
      <c r="B181" s="8" t="s">
        <v>107</v>
      </c>
      <c r="C181" s="8" t="n">
        <v>1</v>
      </c>
      <c r="D181" s="8" t="n">
        <v>6330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 t="s">
        <v>48</v>
      </c>
      <c r="P181" s="8" t="s">
        <v>144</v>
      </c>
      <c r="Q181" s="8" t="n">
        <v>1</v>
      </c>
      <c r="R181" s="8" t="n">
        <v>0</v>
      </c>
    </row>
    <row r="182" customFormat="false" ht="15" hidden="false" customHeight="false" outlineLevel="0" collapsed="false">
      <c r="A182" s="8" t="s">
        <v>325</v>
      </c>
      <c r="B182" s="8" t="s">
        <v>107</v>
      </c>
      <c r="C182" s="8" t="n">
        <v>1</v>
      </c>
      <c r="D182" s="8" t="n">
        <v>12498</v>
      </c>
      <c r="E182" s="8"/>
      <c r="F182" s="8" t="s">
        <v>38</v>
      </c>
      <c r="G182" s="8"/>
      <c r="H182" s="8"/>
      <c r="I182" s="8"/>
      <c r="J182" s="8"/>
      <c r="K182" s="8"/>
      <c r="L182" s="8"/>
      <c r="M182" s="8"/>
      <c r="N182" s="8" t="s">
        <v>48</v>
      </c>
      <c r="O182" s="8" t="s">
        <v>48</v>
      </c>
      <c r="P182" s="8" t="s">
        <v>144</v>
      </c>
      <c r="Q182" s="8" t="n">
        <v>1</v>
      </c>
      <c r="R182" s="8" t="n">
        <v>1</v>
      </c>
    </row>
    <row r="183" customFormat="false" ht="15" hidden="false" customHeight="false" outlineLevel="0" collapsed="false">
      <c r="A183" s="8" t="s">
        <v>326</v>
      </c>
      <c r="B183" s="8" t="s">
        <v>107</v>
      </c>
      <c r="C183" s="8" t="n">
        <v>1</v>
      </c>
      <c r="D183" s="8" t="n">
        <v>5778</v>
      </c>
      <c r="E183" s="8"/>
      <c r="F183" s="8"/>
      <c r="G183" s="8"/>
      <c r="H183" s="8"/>
      <c r="I183" s="8"/>
      <c r="J183" s="8"/>
      <c r="K183" s="8"/>
      <c r="L183" s="8"/>
      <c r="M183" s="8"/>
      <c r="N183" s="8" t="s">
        <v>48</v>
      </c>
      <c r="O183" s="8" t="s">
        <v>48</v>
      </c>
      <c r="P183" s="8" t="s">
        <v>144</v>
      </c>
      <c r="Q183" s="8" t="n">
        <v>1</v>
      </c>
      <c r="R183" s="8" t="n">
        <v>0</v>
      </c>
    </row>
    <row r="184" customFormat="false" ht="15" hidden="false" customHeight="false" outlineLevel="0" collapsed="false">
      <c r="A184" s="8" t="s">
        <v>327</v>
      </c>
      <c r="B184" s="8" t="s">
        <v>107</v>
      </c>
      <c r="C184" s="8" t="n">
        <v>1</v>
      </c>
      <c r="D184" s="8" t="n">
        <v>844</v>
      </c>
      <c r="E184" s="8"/>
      <c r="F184" s="8"/>
      <c r="G184" s="8"/>
      <c r="H184" s="8"/>
      <c r="I184" s="8"/>
      <c r="J184" s="8"/>
      <c r="K184" s="8"/>
      <c r="L184" s="8"/>
      <c r="M184" s="8"/>
      <c r="N184" s="8" t="s">
        <v>48</v>
      </c>
      <c r="O184" s="8"/>
      <c r="P184" s="8" t="s">
        <v>144</v>
      </c>
      <c r="Q184" s="8" t="n">
        <v>1</v>
      </c>
      <c r="R184" s="8" t="n">
        <v>0</v>
      </c>
    </row>
    <row r="185" customFormat="false" ht="15" hidden="false" customHeight="false" outlineLevel="0" collapsed="false">
      <c r="A185" s="8" t="s">
        <v>328</v>
      </c>
      <c r="B185" s="8" t="s">
        <v>107</v>
      </c>
      <c r="C185" s="8" t="n">
        <v>1</v>
      </c>
      <c r="D185" s="8" t="n">
        <v>2890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 t="s">
        <v>48</v>
      </c>
      <c r="P185" s="8" t="s">
        <v>144</v>
      </c>
      <c r="Q185" s="8" t="n">
        <v>1</v>
      </c>
      <c r="R185" s="8" t="n">
        <v>0</v>
      </c>
    </row>
    <row r="186" customFormat="false" ht="15" hidden="false" customHeight="false" outlineLevel="0" collapsed="false">
      <c r="A186" s="8" t="s">
        <v>329</v>
      </c>
      <c r="B186" s="8" t="s">
        <v>107</v>
      </c>
      <c r="C186" s="8" t="n">
        <v>1</v>
      </c>
      <c r="D186" s="8" t="n">
        <v>844</v>
      </c>
      <c r="E186" s="8"/>
      <c r="F186" s="8"/>
      <c r="G186" s="8"/>
      <c r="H186" s="8"/>
      <c r="I186" s="8"/>
      <c r="J186" s="8"/>
      <c r="K186" s="8"/>
      <c r="L186" s="8"/>
      <c r="M186" s="8"/>
      <c r="N186" s="8" t="s">
        <v>48</v>
      </c>
      <c r="O186" s="8"/>
      <c r="P186" s="8" t="s">
        <v>144</v>
      </c>
      <c r="Q186" s="8" t="n">
        <v>1</v>
      </c>
      <c r="R186" s="8" t="n">
        <v>0</v>
      </c>
    </row>
    <row r="187" customFormat="false" ht="15" hidden="false" customHeight="false" outlineLevel="0" collapsed="false">
      <c r="A187" s="8" t="s">
        <v>330</v>
      </c>
      <c r="B187" s="8" t="s">
        <v>107</v>
      </c>
      <c r="C187" s="8" t="n">
        <v>1</v>
      </c>
      <c r="D187" s="8" t="n">
        <v>8060</v>
      </c>
      <c r="E187" s="8"/>
      <c r="F187" s="8"/>
      <c r="G187" s="8"/>
      <c r="H187" s="8"/>
      <c r="I187" s="8"/>
      <c r="J187" s="8"/>
      <c r="K187" s="8"/>
      <c r="L187" s="8"/>
      <c r="M187" s="8"/>
      <c r="N187" s="8" t="s">
        <v>48</v>
      </c>
      <c r="O187" s="8" t="s">
        <v>48</v>
      </c>
      <c r="P187" s="8" t="s">
        <v>144</v>
      </c>
      <c r="Q187" s="8" t="n">
        <v>1</v>
      </c>
      <c r="R187" s="8" t="n">
        <v>0</v>
      </c>
    </row>
    <row r="188" customFormat="false" ht="15" hidden="false" customHeight="false" outlineLevel="0" collapsed="false">
      <c r="A188" s="8" t="s">
        <v>331</v>
      </c>
      <c r="B188" s="8" t="s">
        <v>107</v>
      </c>
      <c r="C188" s="8" t="n">
        <v>1</v>
      </c>
      <c r="D188" s="8" t="n">
        <v>3216</v>
      </c>
      <c r="E188" s="8"/>
      <c r="F188" s="8"/>
      <c r="G188" s="8"/>
      <c r="H188" s="8"/>
      <c r="I188" s="8"/>
      <c r="J188" s="8"/>
      <c r="K188" s="8"/>
      <c r="L188" s="8"/>
      <c r="M188" s="8"/>
      <c r="N188" s="8" t="s">
        <v>48</v>
      </c>
      <c r="O188" s="8"/>
      <c r="P188" s="8" t="s">
        <v>144</v>
      </c>
      <c r="Q188" s="8" t="n">
        <v>1</v>
      </c>
      <c r="R188" s="8" t="n">
        <v>0</v>
      </c>
    </row>
    <row r="189" customFormat="false" ht="15" hidden="false" customHeight="false" outlineLevel="0" collapsed="false">
      <c r="A189" s="8" t="s">
        <v>332</v>
      </c>
      <c r="B189" s="8" t="s">
        <v>107</v>
      </c>
      <c r="C189" s="8" t="n">
        <v>0</v>
      </c>
      <c r="D189" s="8" t="n">
        <v>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 t="s">
        <v>152</v>
      </c>
      <c r="Q189" s="8" t="n">
        <v>0</v>
      </c>
      <c r="R189" s="8" t="n">
        <v>0</v>
      </c>
    </row>
    <row r="190" customFormat="false" ht="15" hidden="false" customHeight="false" outlineLevel="0" collapsed="false">
      <c r="A190" s="8" t="s">
        <v>333</v>
      </c>
      <c r="B190" s="8" t="s">
        <v>109</v>
      </c>
      <c r="C190" s="8" t="n">
        <v>1</v>
      </c>
      <c r="D190" s="8" t="n">
        <v>5676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 t="s">
        <v>48</v>
      </c>
      <c r="P190" s="8" t="s">
        <v>144</v>
      </c>
      <c r="Q190" s="8" t="n">
        <v>1</v>
      </c>
      <c r="R190" s="8" t="n">
        <v>0</v>
      </c>
    </row>
    <row r="191" customFormat="false" ht="15" hidden="false" customHeight="false" outlineLevel="0" collapsed="false">
      <c r="A191" s="8" t="s">
        <v>334</v>
      </c>
      <c r="B191" s="8" t="s">
        <v>109</v>
      </c>
      <c r="C191" s="8" t="n">
        <v>0</v>
      </c>
      <c r="D191" s="8" t="n">
        <v>0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 t="s">
        <v>152</v>
      </c>
      <c r="Q191" s="8" t="n">
        <v>0</v>
      </c>
      <c r="R191" s="8" t="n">
        <v>0</v>
      </c>
    </row>
    <row r="192" customFormat="false" ht="15" hidden="false" customHeight="false" outlineLevel="0" collapsed="false">
      <c r="A192" s="8" t="s">
        <v>335</v>
      </c>
      <c r="B192" s="8" t="s">
        <v>109</v>
      </c>
      <c r="C192" s="8" t="n">
        <v>1</v>
      </c>
      <c r="D192" s="8" t="n">
        <v>6330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 t="s">
        <v>48</v>
      </c>
      <c r="P192" s="8" t="s">
        <v>144</v>
      </c>
      <c r="Q192" s="8" t="n">
        <v>1</v>
      </c>
      <c r="R192" s="8" t="n">
        <v>0</v>
      </c>
    </row>
    <row r="193" customFormat="false" ht="15" hidden="false" customHeight="false" outlineLevel="0" collapsed="false">
      <c r="A193" s="8" t="s">
        <v>336</v>
      </c>
      <c r="B193" s="8" t="s">
        <v>109</v>
      </c>
      <c r="C193" s="8" t="n">
        <v>1</v>
      </c>
      <c r="D193" s="8" t="n">
        <v>12498</v>
      </c>
      <c r="E193" s="8"/>
      <c r="F193" s="8" t="s">
        <v>38</v>
      </c>
      <c r="G193" s="8"/>
      <c r="H193" s="8"/>
      <c r="I193" s="8"/>
      <c r="J193" s="8"/>
      <c r="K193" s="8"/>
      <c r="L193" s="8"/>
      <c r="M193" s="8"/>
      <c r="N193" s="8" t="s">
        <v>48</v>
      </c>
      <c r="O193" s="8" t="s">
        <v>48</v>
      </c>
      <c r="P193" s="8" t="s">
        <v>144</v>
      </c>
      <c r="Q193" s="8" t="n">
        <v>1</v>
      </c>
      <c r="R193" s="8" t="n">
        <v>1</v>
      </c>
    </row>
    <row r="194" customFormat="false" ht="15" hidden="false" customHeight="false" outlineLevel="0" collapsed="false">
      <c r="A194" s="8" t="s">
        <v>337</v>
      </c>
      <c r="B194" s="8" t="s">
        <v>109</v>
      </c>
      <c r="C194" s="8" t="n">
        <v>1</v>
      </c>
      <c r="D194" s="8" t="n">
        <v>5778</v>
      </c>
      <c r="E194" s="8"/>
      <c r="F194" s="8"/>
      <c r="G194" s="8"/>
      <c r="H194" s="8"/>
      <c r="I194" s="8"/>
      <c r="J194" s="8"/>
      <c r="K194" s="8"/>
      <c r="L194" s="8"/>
      <c r="M194" s="8"/>
      <c r="N194" s="8" t="s">
        <v>48</v>
      </c>
      <c r="O194" s="8" t="s">
        <v>48</v>
      </c>
      <c r="P194" s="8" t="s">
        <v>144</v>
      </c>
      <c r="Q194" s="8" t="n">
        <v>1</v>
      </c>
      <c r="R194" s="8" t="n">
        <v>0</v>
      </c>
    </row>
    <row r="195" customFormat="false" ht="15" hidden="false" customHeight="false" outlineLevel="0" collapsed="false">
      <c r="A195" s="8" t="s">
        <v>338</v>
      </c>
      <c r="B195" s="8" t="s">
        <v>109</v>
      </c>
      <c r="C195" s="8" t="n">
        <v>1</v>
      </c>
      <c r="D195" s="8" t="n">
        <v>844</v>
      </c>
      <c r="E195" s="8"/>
      <c r="F195" s="8"/>
      <c r="G195" s="8"/>
      <c r="H195" s="8"/>
      <c r="I195" s="8"/>
      <c r="J195" s="8"/>
      <c r="K195" s="8"/>
      <c r="L195" s="8"/>
      <c r="M195" s="8"/>
      <c r="N195" s="8" t="s">
        <v>48</v>
      </c>
      <c r="O195" s="8"/>
      <c r="P195" s="8" t="s">
        <v>144</v>
      </c>
      <c r="Q195" s="8" t="n">
        <v>1</v>
      </c>
      <c r="R195" s="8" t="n">
        <v>0</v>
      </c>
    </row>
    <row r="196" customFormat="false" ht="15" hidden="false" customHeight="false" outlineLevel="0" collapsed="false">
      <c r="A196" s="8" t="s">
        <v>339</v>
      </c>
      <c r="B196" s="8" t="s">
        <v>109</v>
      </c>
      <c r="C196" s="8" t="n">
        <v>1</v>
      </c>
      <c r="D196" s="8" t="n">
        <v>2890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 t="s">
        <v>48</v>
      </c>
      <c r="P196" s="8" t="s">
        <v>144</v>
      </c>
      <c r="Q196" s="8" t="n">
        <v>1</v>
      </c>
      <c r="R196" s="8" t="n">
        <v>0</v>
      </c>
    </row>
    <row r="197" customFormat="false" ht="15" hidden="false" customHeight="false" outlineLevel="0" collapsed="false">
      <c r="A197" s="8" t="s">
        <v>340</v>
      </c>
      <c r="B197" s="8" t="s">
        <v>109</v>
      </c>
      <c r="C197" s="8" t="n">
        <v>1</v>
      </c>
      <c r="D197" s="8" t="n">
        <v>844</v>
      </c>
      <c r="E197" s="8"/>
      <c r="F197" s="8"/>
      <c r="G197" s="8"/>
      <c r="H197" s="8"/>
      <c r="I197" s="8"/>
      <c r="J197" s="8"/>
      <c r="K197" s="8"/>
      <c r="L197" s="8"/>
      <c r="M197" s="8"/>
      <c r="N197" s="8" t="s">
        <v>48</v>
      </c>
      <c r="O197" s="8"/>
      <c r="P197" s="8" t="s">
        <v>144</v>
      </c>
      <c r="Q197" s="8" t="n">
        <v>1</v>
      </c>
      <c r="R197" s="8" t="n">
        <v>0</v>
      </c>
    </row>
    <row r="198" customFormat="false" ht="15" hidden="false" customHeight="false" outlineLevel="0" collapsed="false">
      <c r="A198" s="8" t="s">
        <v>341</v>
      </c>
      <c r="B198" s="8" t="s">
        <v>109</v>
      </c>
      <c r="C198" s="8" t="n">
        <v>1</v>
      </c>
      <c r="D198" s="8" t="n">
        <v>8060</v>
      </c>
      <c r="E198" s="8"/>
      <c r="F198" s="8"/>
      <c r="G198" s="8"/>
      <c r="H198" s="8"/>
      <c r="I198" s="8"/>
      <c r="J198" s="8"/>
      <c r="K198" s="8"/>
      <c r="L198" s="8"/>
      <c r="M198" s="8"/>
      <c r="N198" s="8" t="s">
        <v>48</v>
      </c>
      <c r="O198" s="8" t="s">
        <v>48</v>
      </c>
      <c r="P198" s="8" t="s">
        <v>144</v>
      </c>
      <c r="Q198" s="8" t="n">
        <v>1</v>
      </c>
      <c r="R198" s="8" t="n">
        <v>0</v>
      </c>
    </row>
    <row r="199" customFormat="false" ht="15" hidden="false" customHeight="false" outlineLevel="0" collapsed="false">
      <c r="A199" s="8" t="s">
        <v>342</v>
      </c>
      <c r="B199" s="8" t="s">
        <v>109</v>
      </c>
      <c r="C199" s="8" t="n">
        <v>1</v>
      </c>
      <c r="D199" s="8" t="n">
        <v>3216</v>
      </c>
      <c r="E199" s="8"/>
      <c r="F199" s="8"/>
      <c r="G199" s="8"/>
      <c r="H199" s="8"/>
      <c r="I199" s="8"/>
      <c r="J199" s="8"/>
      <c r="K199" s="8"/>
      <c r="L199" s="8"/>
      <c r="M199" s="8"/>
      <c r="N199" s="8" t="s">
        <v>48</v>
      </c>
      <c r="O199" s="8"/>
      <c r="P199" s="8" t="s">
        <v>144</v>
      </c>
      <c r="Q199" s="8" t="n">
        <v>1</v>
      </c>
      <c r="R199" s="8" t="n">
        <v>0</v>
      </c>
    </row>
    <row r="200" customFormat="false" ht="15" hidden="false" customHeight="false" outlineLevel="0" collapsed="false">
      <c r="A200" s="8" t="s">
        <v>343</v>
      </c>
      <c r="B200" s="8" t="s">
        <v>109</v>
      </c>
      <c r="C200" s="8" t="n">
        <v>0</v>
      </c>
      <c r="D200" s="8" t="n">
        <v>0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 t="s">
        <v>152</v>
      </c>
      <c r="Q200" s="8" t="n">
        <v>0</v>
      </c>
      <c r="R200" s="8" t="n">
        <v>0</v>
      </c>
    </row>
    <row r="201" customFormat="false" ht="15" hidden="false" customHeight="false" outlineLevel="0" collapsed="false">
      <c r="A201" s="8" t="s">
        <v>344</v>
      </c>
      <c r="B201" s="8" t="s">
        <v>110</v>
      </c>
      <c r="C201" s="8" t="n">
        <v>1</v>
      </c>
      <c r="D201" s="8" t="n">
        <v>5676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 t="s">
        <v>48</v>
      </c>
      <c r="P201" s="8" t="s">
        <v>144</v>
      </c>
      <c r="Q201" s="8" t="n">
        <v>1</v>
      </c>
      <c r="R201" s="8" t="n">
        <v>0</v>
      </c>
    </row>
    <row r="202" customFormat="false" ht="15" hidden="false" customHeight="false" outlineLevel="0" collapsed="false">
      <c r="A202" s="8" t="s">
        <v>345</v>
      </c>
      <c r="B202" s="8" t="s">
        <v>110</v>
      </c>
      <c r="C202" s="8" t="n">
        <v>0</v>
      </c>
      <c r="D202" s="8" t="n">
        <v>0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 t="s">
        <v>152</v>
      </c>
      <c r="Q202" s="8" t="n">
        <v>0</v>
      </c>
      <c r="R202" s="8" t="n">
        <v>0</v>
      </c>
    </row>
    <row r="203" customFormat="false" ht="15" hidden="false" customHeight="false" outlineLevel="0" collapsed="false">
      <c r="A203" s="8" t="s">
        <v>346</v>
      </c>
      <c r="B203" s="8" t="s">
        <v>110</v>
      </c>
      <c r="C203" s="8" t="n">
        <v>0</v>
      </c>
      <c r="D203" s="8" t="n">
        <v>0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 t="s">
        <v>152</v>
      </c>
      <c r="Q203" s="8" t="n">
        <v>0</v>
      </c>
      <c r="R203" s="8" t="n">
        <v>0</v>
      </c>
    </row>
    <row r="204" customFormat="false" ht="15" hidden="false" customHeight="false" outlineLevel="0" collapsed="false">
      <c r="A204" s="8" t="s">
        <v>347</v>
      </c>
      <c r="B204" s="8" t="s">
        <v>110</v>
      </c>
      <c r="C204" s="8" t="n">
        <v>1</v>
      </c>
      <c r="D204" s="8" t="n">
        <v>6330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 t="s">
        <v>48</v>
      </c>
      <c r="P204" s="8" t="s">
        <v>144</v>
      </c>
      <c r="Q204" s="8" t="n">
        <v>1</v>
      </c>
      <c r="R204" s="8" t="n">
        <v>0</v>
      </c>
    </row>
    <row r="205" customFormat="false" ht="15" hidden="false" customHeight="false" outlineLevel="0" collapsed="false">
      <c r="A205" s="8" t="s">
        <v>348</v>
      </c>
      <c r="B205" s="8" t="s">
        <v>110</v>
      </c>
      <c r="C205" s="8" t="n">
        <v>1</v>
      </c>
      <c r="D205" s="8" t="n">
        <v>12498</v>
      </c>
      <c r="E205" s="8"/>
      <c r="F205" s="8" t="s">
        <v>38</v>
      </c>
      <c r="G205" s="8"/>
      <c r="H205" s="8"/>
      <c r="I205" s="8"/>
      <c r="J205" s="8"/>
      <c r="K205" s="8"/>
      <c r="L205" s="8"/>
      <c r="M205" s="8"/>
      <c r="N205" s="8" t="s">
        <v>48</v>
      </c>
      <c r="O205" s="8" t="s">
        <v>48</v>
      </c>
      <c r="P205" s="8" t="s">
        <v>144</v>
      </c>
      <c r="Q205" s="8" t="n">
        <v>1</v>
      </c>
      <c r="R205" s="8" t="n">
        <v>1</v>
      </c>
    </row>
    <row r="206" customFormat="false" ht="15" hidden="false" customHeight="false" outlineLevel="0" collapsed="false">
      <c r="A206" s="8" t="s">
        <v>349</v>
      </c>
      <c r="B206" s="8" t="s">
        <v>110</v>
      </c>
      <c r="C206" s="8" t="n">
        <v>1</v>
      </c>
      <c r="D206" s="8" t="n">
        <v>5778</v>
      </c>
      <c r="E206" s="8"/>
      <c r="F206" s="8"/>
      <c r="G206" s="8"/>
      <c r="H206" s="8"/>
      <c r="I206" s="8"/>
      <c r="J206" s="8"/>
      <c r="K206" s="8"/>
      <c r="L206" s="8"/>
      <c r="M206" s="8"/>
      <c r="N206" s="8" t="s">
        <v>48</v>
      </c>
      <c r="O206" s="8" t="s">
        <v>48</v>
      </c>
      <c r="P206" s="8" t="s">
        <v>144</v>
      </c>
      <c r="Q206" s="8" t="n">
        <v>1</v>
      </c>
      <c r="R206" s="8" t="n">
        <v>0</v>
      </c>
    </row>
    <row r="207" customFormat="false" ht="15" hidden="false" customHeight="false" outlineLevel="0" collapsed="false">
      <c r="A207" s="8" t="s">
        <v>350</v>
      </c>
      <c r="B207" s="8" t="s">
        <v>110</v>
      </c>
      <c r="C207" s="8" t="n">
        <v>1</v>
      </c>
      <c r="D207" s="8" t="n">
        <v>844</v>
      </c>
      <c r="E207" s="8"/>
      <c r="F207" s="8"/>
      <c r="G207" s="8"/>
      <c r="H207" s="8"/>
      <c r="I207" s="8"/>
      <c r="J207" s="8"/>
      <c r="K207" s="8"/>
      <c r="L207" s="8"/>
      <c r="M207" s="8"/>
      <c r="N207" s="8" t="s">
        <v>48</v>
      </c>
      <c r="O207" s="8"/>
      <c r="P207" s="8" t="s">
        <v>144</v>
      </c>
      <c r="Q207" s="8" t="n">
        <v>1</v>
      </c>
      <c r="R207" s="8" t="n">
        <v>0</v>
      </c>
    </row>
    <row r="208" customFormat="false" ht="15" hidden="false" customHeight="false" outlineLevel="0" collapsed="false">
      <c r="A208" s="8" t="s">
        <v>351</v>
      </c>
      <c r="B208" s="8" t="s">
        <v>110</v>
      </c>
      <c r="C208" s="8" t="n">
        <v>1</v>
      </c>
      <c r="D208" s="8" t="n">
        <v>2890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 t="s">
        <v>48</v>
      </c>
      <c r="P208" s="8" t="s">
        <v>144</v>
      </c>
      <c r="Q208" s="8" t="n">
        <v>1</v>
      </c>
      <c r="R208" s="8" t="n">
        <v>0</v>
      </c>
    </row>
    <row r="209" customFormat="false" ht="15" hidden="false" customHeight="false" outlineLevel="0" collapsed="false">
      <c r="A209" s="8" t="s">
        <v>352</v>
      </c>
      <c r="B209" s="8" t="s">
        <v>110</v>
      </c>
      <c r="C209" s="8" t="n">
        <v>1</v>
      </c>
      <c r="D209" s="8" t="n">
        <v>844</v>
      </c>
      <c r="E209" s="8"/>
      <c r="F209" s="8"/>
      <c r="G209" s="8"/>
      <c r="H209" s="8"/>
      <c r="I209" s="8"/>
      <c r="J209" s="8"/>
      <c r="K209" s="8"/>
      <c r="L209" s="8"/>
      <c r="M209" s="8"/>
      <c r="N209" s="8" t="s">
        <v>48</v>
      </c>
      <c r="O209" s="8"/>
      <c r="P209" s="8" t="s">
        <v>144</v>
      </c>
      <c r="Q209" s="8" t="n">
        <v>1</v>
      </c>
      <c r="R209" s="8" t="n">
        <v>0</v>
      </c>
    </row>
    <row r="210" customFormat="false" ht="15" hidden="false" customHeight="false" outlineLevel="0" collapsed="false">
      <c r="A210" s="8" t="s">
        <v>353</v>
      </c>
      <c r="B210" s="8" t="s">
        <v>110</v>
      </c>
      <c r="C210" s="8" t="n">
        <v>1</v>
      </c>
      <c r="D210" s="8" t="n">
        <v>8060</v>
      </c>
      <c r="E210" s="8"/>
      <c r="F210" s="8"/>
      <c r="G210" s="8"/>
      <c r="H210" s="8"/>
      <c r="I210" s="8"/>
      <c r="J210" s="8"/>
      <c r="K210" s="8"/>
      <c r="L210" s="8"/>
      <c r="M210" s="8"/>
      <c r="N210" s="8" t="s">
        <v>48</v>
      </c>
      <c r="O210" s="8" t="s">
        <v>48</v>
      </c>
      <c r="P210" s="8" t="s">
        <v>144</v>
      </c>
      <c r="Q210" s="8" t="n">
        <v>1</v>
      </c>
      <c r="R210" s="8" t="n">
        <v>0</v>
      </c>
    </row>
    <row r="211" customFormat="false" ht="15" hidden="false" customHeight="false" outlineLevel="0" collapsed="false">
      <c r="A211" s="8" t="s">
        <v>354</v>
      </c>
      <c r="B211" s="8" t="s">
        <v>110</v>
      </c>
      <c r="C211" s="8" t="n">
        <v>1</v>
      </c>
      <c r="D211" s="8" t="n">
        <v>3216</v>
      </c>
      <c r="E211" s="8"/>
      <c r="F211" s="8"/>
      <c r="G211" s="8"/>
      <c r="H211" s="8"/>
      <c r="I211" s="8"/>
      <c r="J211" s="8"/>
      <c r="K211" s="8"/>
      <c r="L211" s="8"/>
      <c r="M211" s="8"/>
      <c r="N211" s="8" t="s">
        <v>48</v>
      </c>
      <c r="O211" s="8"/>
      <c r="P211" s="8" t="s">
        <v>144</v>
      </c>
      <c r="Q211" s="8" t="n">
        <v>1</v>
      </c>
      <c r="R211" s="8" t="n">
        <v>0</v>
      </c>
    </row>
    <row r="212" customFormat="false" ht="15" hidden="false" customHeight="false" outlineLevel="0" collapsed="false">
      <c r="A212" s="8" t="s">
        <v>355</v>
      </c>
      <c r="B212" s="8" t="s">
        <v>112</v>
      </c>
      <c r="C212" s="8" t="n">
        <v>1</v>
      </c>
      <c r="D212" s="8" t="n">
        <v>6330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 t="s">
        <v>48</v>
      </c>
      <c r="P212" s="8" t="s">
        <v>144</v>
      </c>
      <c r="Q212" s="8" t="n">
        <v>1</v>
      </c>
      <c r="R212" s="8" t="n">
        <v>0</v>
      </c>
    </row>
    <row r="213" customFormat="false" ht="15" hidden="false" customHeight="false" outlineLevel="0" collapsed="false">
      <c r="A213" s="8" t="s">
        <v>356</v>
      </c>
      <c r="B213" s="8" t="s">
        <v>112</v>
      </c>
      <c r="C213" s="8" t="n">
        <v>1</v>
      </c>
      <c r="D213" s="8" t="n">
        <v>12498</v>
      </c>
      <c r="E213" s="8"/>
      <c r="F213" s="8" t="s">
        <v>38</v>
      </c>
      <c r="G213" s="8"/>
      <c r="H213" s="8"/>
      <c r="I213" s="8"/>
      <c r="J213" s="8"/>
      <c r="K213" s="8"/>
      <c r="L213" s="8"/>
      <c r="M213" s="8"/>
      <c r="N213" s="8" t="s">
        <v>48</v>
      </c>
      <c r="O213" s="8" t="s">
        <v>48</v>
      </c>
      <c r="P213" s="8" t="s">
        <v>144</v>
      </c>
      <c r="Q213" s="8" t="n">
        <v>1</v>
      </c>
      <c r="R213" s="8" t="n">
        <v>1</v>
      </c>
    </row>
    <row r="214" customFormat="false" ht="15" hidden="false" customHeight="false" outlineLevel="0" collapsed="false">
      <c r="A214" s="8" t="s">
        <v>357</v>
      </c>
      <c r="B214" s="8" t="s">
        <v>112</v>
      </c>
      <c r="C214" s="8" t="n">
        <v>1</v>
      </c>
      <c r="D214" s="8" t="n">
        <v>5778</v>
      </c>
      <c r="E214" s="8"/>
      <c r="F214" s="8"/>
      <c r="G214" s="8"/>
      <c r="H214" s="8"/>
      <c r="I214" s="8"/>
      <c r="J214" s="8"/>
      <c r="K214" s="8"/>
      <c r="L214" s="8"/>
      <c r="M214" s="8"/>
      <c r="N214" s="8" t="s">
        <v>48</v>
      </c>
      <c r="O214" s="8" t="s">
        <v>48</v>
      </c>
      <c r="P214" s="8" t="s">
        <v>144</v>
      </c>
      <c r="Q214" s="8" t="n">
        <v>1</v>
      </c>
      <c r="R214" s="8" t="n">
        <v>0</v>
      </c>
    </row>
    <row r="215" customFormat="false" ht="15" hidden="false" customHeight="false" outlineLevel="0" collapsed="false">
      <c r="A215" s="8" t="s">
        <v>358</v>
      </c>
      <c r="B215" s="8" t="s">
        <v>112</v>
      </c>
      <c r="C215" s="8" t="n">
        <v>1</v>
      </c>
      <c r="D215" s="8" t="n">
        <v>844</v>
      </c>
      <c r="E215" s="8"/>
      <c r="F215" s="8"/>
      <c r="G215" s="8"/>
      <c r="H215" s="8"/>
      <c r="I215" s="8"/>
      <c r="J215" s="8"/>
      <c r="K215" s="8"/>
      <c r="L215" s="8"/>
      <c r="M215" s="8"/>
      <c r="N215" s="8" t="s">
        <v>48</v>
      </c>
      <c r="O215" s="8"/>
      <c r="P215" s="8" t="s">
        <v>144</v>
      </c>
      <c r="Q215" s="8" t="n">
        <v>1</v>
      </c>
      <c r="R215" s="8" t="n">
        <v>0</v>
      </c>
    </row>
    <row r="216" customFormat="false" ht="15" hidden="false" customHeight="false" outlineLevel="0" collapsed="false">
      <c r="A216" s="8" t="s">
        <v>359</v>
      </c>
      <c r="B216" s="8" t="s">
        <v>112</v>
      </c>
      <c r="C216" s="8" t="n">
        <v>1</v>
      </c>
      <c r="D216" s="8" t="n">
        <v>2890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 t="s">
        <v>48</v>
      </c>
      <c r="P216" s="8" t="s">
        <v>144</v>
      </c>
      <c r="Q216" s="8" t="n">
        <v>1</v>
      </c>
      <c r="R216" s="8" t="n">
        <v>0</v>
      </c>
    </row>
    <row r="217" customFormat="false" ht="15" hidden="false" customHeight="false" outlineLevel="0" collapsed="false">
      <c r="A217" s="8" t="s">
        <v>360</v>
      </c>
      <c r="B217" s="8" t="s">
        <v>112</v>
      </c>
      <c r="C217" s="8" t="n">
        <v>1</v>
      </c>
      <c r="D217" s="8" t="n">
        <v>844</v>
      </c>
      <c r="E217" s="8"/>
      <c r="F217" s="8"/>
      <c r="G217" s="8"/>
      <c r="H217" s="8"/>
      <c r="I217" s="8"/>
      <c r="J217" s="8"/>
      <c r="K217" s="8"/>
      <c r="L217" s="8"/>
      <c r="M217" s="8"/>
      <c r="N217" s="8" t="s">
        <v>48</v>
      </c>
      <c r="O217" s="8"/>
      <c r="P217" s="8" t="s">
        <v>144</v>
      </c>
      <c r="Q217" s="8" t="n">
        <v>1</v>
      </c>
      <c r="R217" s="8" t="n">
        <v>0</v>
      </c>
    </row>
    <row r="218" customFormat="false" ht="15" hidden="false" customHeight="false" outlineLevel="0" collapsed="false">
      <c r="A218" s="8" t="s">
        <v>361</v>
      </c>
      <c r="B218" s="8" t="s">
        <v>112</v>
      </c>
      <c r="C218" s="8" t="n">
        <v>1</v>
      </c>
      <c r="D218" s="8" t="n">
        <v>8060</v>
      </c>
      <c r="E218" s="8"/>
      <c r="F218" s="8"/>
      <c r="G218" s="8"/>
      <c r="H218" s="8"/>
      <c r="I218" s="8"/>
      <c r="J218" s="8"/>
      <c r="K218" s="8"/>
      <c r="L218" s="8"/>
      <c r="M218" s="8"/>
      <c r="N218" s="8" t="s">
        <v>48</v>
      </c>
      <c r="O218" s="8" t="s">
        <v>48</v>
      </c>
      <c r="P218" s="8" t="s">
        <v>144</v>
      </c>
      <c r="Q218" s="8" t="n">
        <v>1</v>
      </c>
      <c r="R218" s="8" t="n">
        <v>0</v>
      </c>
    </row>
    <row r="219" customFormat="false" ht="15" hidden="false" customHeight="false" outlineLevel="0" collapsed="false">
      <c r="A219" s="8" t="s">
        <v>362</v>
      </c>
      <c r="B219" s="8" t="s">
        <v>112</v>
      </c>
      <c r="C219" s="8" t="n">
        <v>0</v>
      </c>
      <c r="D219" s="8" t="n">
        <v>0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 t="s">
        <v>152</v>
      </c>
      <c r="Q219" s="8" t="n">
        <v>0</v>
      </c>
      <c r="R219" s="8" t="n">
        <v>0</v>
      </c>
    </row>
    <row r="220" customFormat="false" ht="15" hidden="false" customHeight="false" outlineLevel="0" collapsed="false">
      <c r="A220" s="8" t="s">
        <v>363</v>
      </c>
      <c r="B220" s="8" t="s">
        <v>112</v>
      </c>
      <c r="C220" s="8" t="n">
        <v>0</v>
      </c>
      <c r="D220" s="8" t="n">
        <v>0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 t="s">
        <v>152</v>
      </c>
      <c r="Q220" s="8" t="n">
        <v>0</v>
      </c>
      <c r="R220" s="8" t="n">
        <v>0</v>
      </c>
    </row>
    <row r="221" customFormat="false" ht="15" hidden="false" customHeight="false" outlineLevel="0" collapsed="false">
      <c r="A221" s="8" t="s">
        <v>364</v>
      </c>
      <c r="B221" s="8" t="s">
        <v>111</v>
      </c>
      <c r="C221" s="8" t="n">
        <v>0</v>
      </c>
      <c r="D221" s="8" t="n">
        <v>0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 t="s">
        <v>152</v>
      </c>
      <c r="Q221" s="8" t="n">
        <v>0</v>
      </c>
      <c r="R221" s="8" t="n">
        <v>0</v>
      </c>
    </row>
    <row r="222" customFormat="false" ht="15" hidden="false" customHeight="false" outlineLevel="0" collapsed="false">
      <c r="A222" s="8" t="s">
        <v>365</v>
      </c>
      <c r="B222" s="8" t="s">
        <v>111</v>
      </c>
      <c r="C222" s="8" t="n">
        <v>0</v>
      </c>
      <c r="D222" s="8" t="n">
        <v>0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 t="s">
        <v>152</v>
      </c>
      <c r="Q222" s="8" t="n">
        <v>0</v>
      </c>
      <c r="R222" s="8" t="n">
        <v>0</v>
      </c>
    </row>
    <row r="223" customFormat="false" ht="15" hidden="false" customHeight="false" outlineLevel="0" collapsed="false">
      <c r="A223" s="8" t="s">
        <v>366</v>
      </c>
      <c r="B223" s="8" t="s">
        <v>111</v>
      </c>
      <c r="C223" s="8" t="n">
        <v>0</v>
      </c>
      <c r="D223" s="8" t="n">
        <v>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 t="s">
        <v>152</v>
      </c>
      <c r="Q223" s="8" t="n">
        <v>0</v>
      </c>
      <c r="R223" s="8" t="n">
        <v>0</v>
      </c>
    </row>
    <row r="224" customFormat="false" ht="15" hidden="false" customHeight="false" outlineLevel="0" collapsed="false">
      <c r="A224" s="8" t="s">
        <v>367</v>
      </c>
      <c r="B224" s="8" t="s">
        <v>111</v>
      </c>
      <c r="C224" s="8" t="n">
        <v>0</v>
      </c>
      <c r="D224" s="8" t="n">
        <v>0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 t="s">
        <v>152</v>
      </c>
      <c r="Q224" s="8" t="n">
        <v>0</v>
      </c>
      <c r="R224" s="8" t="n">
        <v>0</v>
      </c>
    </row>
    <row r="225" customFormat="false" ht="15" hidden="false" customHeight="false" outlineLevel="0" collapsed="false">
      <c r="A225" s="8" t="s">
        <v>368</v>
      </c>
      <c r="B225" s="8" t="s">
        <v>111</v>
      </c>
      <c r="C225" s="8" t="n">
        <v>0</v>
      </c>
      <c r="D225" s="8" t="n">
        <v>0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 t="s">
        <v>152</v>
      </c>
      <c r="Q225" s="8" t="n">
        <v>0</v>
      </c>
      <c r="R225" s="8" t="n">
        <v>0</v>
      </c>
    </row>
    <row r="226" customFormat="false" ht="15" hidden="false" customHeight="false" outlineLevel="0" collapsed="false">
      <c r="A226" s="8" t="s">
        <v>369</v>
      </c>
      <c r="B226" s="8" t="s">
        <v>111</v>
      </c>
      <c r="C226" s="8" t="n">
        <v>0</v>
      </c>
      <c r="D226" s="8" t="n">
        <v>0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 t="s">
        <v>152</v>
      </c>
      <c r="Q226" s="8" t="n">
        <v>0</v>
      </c>
      <c r="R226" s="8" t="n">
        <v>0</v>
      </c>
    </row>
    <row r="227" customFormat="false" ht="15" hidden="false" customHeight="false" outlineLevel="0" collapsed="false">
      <c r="A227" s="8" t="s">
        <v>370</v>
      </c>
      <c r="B227" s="8" t="s">
        <v>111</v>
      </c>
      <c r="C227" s="8" t="n">
        <v>0</v>
      </c>
      <c r="D227" s="8" t="n">
        <v>0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 t="s">
        <v>152</v>
      </c>
      <c r="Q227" s="8" t="n">
        <v>0</v>
      </c>
      <c r="R227" s="8" t="n">
        <v>0</v>
      </c>
    </row>
    <row r="228" customFormat="false" ht="15" hidden="false" customHeight="false" outlineLevel="0" collapsed="false">
      <c r="A228" s="8" t="s">
        <v>371</v>
      </c>
      <c r="B228" s="8" t="s">
        <v>111</v>
      </c>
      <c r="C228" s="8" t="n">
        <v>0</v>
      </c>
      <c r="D228" s="8" t="n">
        <v>0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 t="s">
        <v>152</v>
      </c>
      <c r="Q228" s="8" t="n">
        <v>0</v>
      </c>
      <c r="R228" s="8" t="n">
        <v>0</v>
      </c>
    </row>
    <row r="229" customFormat="false" ht="15" hidden="false" customHeight="false" outlineLevel="0" collapsed="false">
      <c r="A229" s="8" t="s">
        <v>372</v>
      </c>
      <c r="B229" s="8" t="s">
        <v>111</v>
      </c>
      <c r="C229" s="8" t="n">
        <v>0</v>
      </c>
      <c r="D229" s="8" t="n">
        <v>0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 t="s">
        <v>152</v>
      </c>
      <c r="Q229" s="8" t="n">
        <v>0</v>
      </c>
      <c r="R229" s="8" t="n">
        <v>0</v>
      </c>
    </row>
    <row r="230" customFormat="false" ht="15" hidden="false" customHeight="false" outlineLevel="0" collapsed="false">
      <c r="A230" s="8" t="s">
        <v>373</v>
      </c>
      <c r="B230" s="8" t="s">
        <v>111</v>
      </c>
      <c r="C230" s="8" t="n">
        <v>0</v>
      </c>
      <c r="D230" s="8" t="n">
        <v>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 t="s">
        <v>152</v>
      </c>
      <c r="Q230" s="8" t="n">
        <v>0</v>
      </c>
      <c r="R230" s="8" t="n">
        <v>0</v>
      </c>
    </row>
    <row r="231" customFormat="false" ht="15" hidden="false" customHeight="false" outlineLevel="0" collapsed="false">
      <c r="A231" s="8" t="s">
        <v>374</v>
      </c>
      <c r="B231" s="8" t="s">
        <v>111</v>
      </c>
      <c r="C231" s="8" t="n">
        <v>0</v>
      </c>
      <c r="D231" s="8" t="n">
        <v>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 t="s">
        <v>152</v>
      </c>
      <c r="Q231" s="8" t="n">
        <v>0</v>
      </c>
      <c r="R231" s="8" t="n">
        <v>0</v>
      </c>
    </row>
    <row r="232" customFormat="false" ht="15" hidden="false" customHeight="false" outlineLevel="0" collapsed="false">
      <c r="A232" s="8" t="s">
        <v>375</v>
      </c>
      <c r="B232" s="8" t="s">
        <v>111</v>
      </c>
      <c r="C232" s="8" t="n">
        <v>0</v>
      </c>
      <c r="D232" s="8" t="n">
        <v>0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 t="s">
        <v>152</v>
      </c>
      <c r="Q232" s="8" t="n">
        <v>0</v>
      </c>
      <c r="R232" s="8" t="n">
        <v>0</v>
      </c>
    </row>
    <row r="233" customFormat="false" ht="15" hidden="false" customHeight="false" outlineLevel="0" collapsed="false">
      <c r="A233" s="8" t="s">
        <v>376</v>
      </c>
      <c r="B233" s="8" t="s">
        <v>114</v>
      </c>
      <c r="C233" s="8" t="n">
        <v>1</v>
      </c>
      <c r="D233" s="8" t="n">
        <v>6330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 t="s">
        <v>48</v>
      </c>
      <c r="P233" s="8" t="s">
        <v>144</v>
      </c>
      <c r="Q233" s="8" t="n">
        <v>1</v>
      </c>
      <c r="R233" s="8" t="n">
        <v>0</v>
      </c>
    </row>
    <row r="234" customFormat="false" ht="15" hidden="false" customHeight="false" outlineLevel="0" collapsed="false">
      <c r="A234" s="8" t="s">
        <v>377</v>
      </c>
      <c r="B234" s="8" t="s">
        <v>114</v>
      </c>
      <c r="C234" s="8" t="n">
        <v>1</v>
      </c>
      <c r="D234" s="8" t="n">
        <v>12498</v>
      </c>
      <c r="E234" s="8"/>
      <c r="F234" s="8" t="s">
        <v>38</v>
      </c>
      <c r="G234" s="8"/>
      <c r="H234" s="8"/>
      <c r="I234" s="8"/>
      <c r="J234" s="8"/>
      <c r="K234" s="8"/>
      <c r="L234" s="8"/>
      <c r="M234" s="8"/>
      <c r="N234" s="8" t="s">
        <v>48</v>
      </c>
      <c r="O234" s="8" t="s">
        <v>48</v>
      </c>
      <c r="P234" s="8" t="s">
        <v>144</v>
      </c>
      <c r="Q234" s="8" t="n">
        <v>1</v>
      </c>
      <c r="R234" s="8" t="n">
        <v>1</v>
      </c>
    </row>
    <row r="235" customFormat="false" ht="15" hidden="false" customHeight="false" outlineLevel="0" collapsed="false">
      <c r="A235" s="8" t="s">
        <v>378</v>
      </c>
      <c r="B235" s="8" t="s">
        <v>114</v>
      </c>
      <c r="C235" s="8" t="n">
        <v>1</v>
      </c>
      <c r="D235" s="8" t="n">
        <v>5778</v>
      </c>
      <c r="E235" s="8"/>
      <c r="F235" s="8"/>
      <c r="G235" s="8"/>
      <c r="H235" s="8"/>
      <c r="I235" s="8"/>
      <c r="J235" s="8"/>
      <c r="K235" s="8"/>
      <c r="L235" s="8"/>
      <c r="M235" s="8"/>
      <c r="N235" s="8" t="s">
        <v>48</v>
      </c>
      <c r="O235" s="8" t="s">
        <v>48</v>
      </c>
      <c r="P235" s="8" t="s">
        <v>144</v>
      </c>
      <c r="Q235" s="8" t="n">
        <v>1</v>
      </c>
      <c r="R235" s="8" t="n">
        <v>0</v>
      </c>
    </row>
    <row r="236" customFormat="false" ht="15" hidden="false" customHeight="false" outlineLevel="0" collapsed="false">
      <c r="A236" s="8" t="s">
        <v>379</v>
      </c>
      <c r="B236" s="8" t="s">
        <v>114</v>
      </c>
      <c r="C236" s="8" t="n">
        <v>1</v>
      </c>
      <c r="D236" s="8" t="n">
        <v>844</v>
      </c>
      <c r="E236" s="8"/>
      <c r="F236" s="8"/>
      <c r="G236" s="8"/>
      <c r="H236" s="8"/>
      <c r="I236" s="8"/>
      <c r="J236" s="8"/>
      <c r="K236" s="8"/>
      <c r="L236" s="8"/>
      <c r="M236" s="8"/>
      <c r="N236" s="8" t="s">
        <v>48</v>
      </c>
      <c r="O236" s="8"/>
      <c r="P236" s="8" t="s">
        <v>144</v>
      </c>
      <c r="Q236" s="8" t="n">
        <v>1</v>
      </c>
      <c r="R236" s="8" t="n">
        <v>0</v>
      </c>
    </row>
    <row r="237" customFormat="false" ht="15" hidden="false" customHeight="false" outlineLevel="0" collapsed="false">
      <c r="A237" s="8" t="s">
        <v>380</v>
      </c>
      <c r="B237" s="8" t="s">
        <v>114</v>
      </c>
      <c r="C237" s="8" t="n">
        <v>1</v>
      </c>
      <c r="D237" s="8" t="n">
        <v>2890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 t="s">
        <v>48</v>
      </c>
      <c r="P237" s="8" t="s">
        <v>144</v>
      </c>
      <c r="Q237" s="8" t="n">
        <v>1</v>
      </c>
      <c r="R237" s="8" t="n">
        <v>0</v>
      </c>
    </row>
    <row r="238" customFormat="false" ht="15" hidden="false" customHeight="false" outlineLevel="0" collapsed="false">
      <c r="A238" s="8" t="s">
        <v>381</v>
      </c>
      <c r="B238" s="8" t="s">
        <v>114</v>
      </c>
      <c r="C238" s="8" t="n">
        <v>1</v>
      </c>
      <c r="D238" s="8" t="n">
        <v>844</v>
      </c>
      <c r="E238" s="8"/>
      <c r="F238" s="8"/>
      <c r="G238" s="8"/>
      <c r="H238" s="8"/>
      <c r="I238" s="8"/>
      <c r="J238" s="8"/>
      <c r="K238" s="8"/>
      <c r="L238" s="8"/>
      <c r="M238" s="8"/>
      <c r="N238" s="8" t="s">
        <v>48</v>
      </c>
      <c r="O238" s="8"/>
      <c r="P238" s="8" t="s">
        <v>144</v>
      </c>
      <c r="Q238" s="8" t="n">
        <v>1</v>
      </c>
      <c r="R238" s="8" t="n">
        <v>0</v>
      </c>
    </row>
    <row r="239" customFormat="false" ht="15" hidden="false" customHeight="false" outlineLevel="0" collapsed="false">
      <c r="A239" s="8" t="s">
        <v>382</v>
      </c>
      <c r="B239" s="8" t="s">
        <v>114</v>
      </c>
      <c r="C239" s="8" t="n">
        <v>1</v>
      </c>
      <c r="D239" s="8" t="n">
        <v>8060</v>
      </c>
      <c r="E239" s="8"/>
      <c r="F239" s="8"/>
      <c r="G239" s="8"/>
      <c r="H239" s="8"/>
      <c r="I239" s="8"/>
      <c r="J239" s="8"/>
      <c r="K239" s="8"/>
      <c r="L239" s="8"/>
      <c r="M239" s="8"/>
      <c r="N239" s="8" t="s">
        <v>48</v>
      </c>
      <c r="O239" s="8" t="s">
        <v>48</v>
      </c>
      <c r="P239" s="8" t="s">
        <v>144</v>
      </c>
      <c r="Q239" s="8" t="n">
        <v>1</v>
      </c>
      <c r="R239" s="8" t="n">
        <v>0</v>
      </c>
    </row>
    <row r="240" customFormat="false" ht="15" hidden="false" customHeight="false" outlineLevel="0" collapsed="false">
      <c r="A240" s="8" t="s">
        <v>383</v>
      </c>
      <c r="B240" s="8" t="s">
        <v>114</v>
      </c>
      <c r="C240" s="8" t="n">
        <v>0</v>
      </c>
      <c r="D240" s="8" t="n">
        <v>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 t="s">
        <v>152</v>
      </c>
      <c r="Q240" s="8" t="n">
        <v>0</v>
      </c>
      <c r="R240" s="8" t="n">
        <v>0</v>
      </c>
    </row>
    <row r="241" customFormat="false" ht="15" hidden="false" customHeight="false" outlineLevel="0" collapsed="false">
      <c r="A241" s="8" t="s">
        <v>384</v>
      </c>
      <c r="B241" s="8" t="s">
        <v>114</v>
      </c>
      <c r="C241" s="8" t="n">
        <v>0</v>
      </c>
      <c r="D241" s="8" t="n">
        <v>0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 t="s">
        <v>152</v>
      </c>
      <c r="Q241" s="8" t="n">
        <v>0</v>
      </c>
      <c r="R241" s="8" t="n">
        <v>0</v>
      </c>
    </row>
    <row r="242" customFormat="false" ht="15" hidden="false" customHeight="false" outlineLevel="0" collapsed="false">
      <c r="A242" s="8" t="s">
        <v>385</v>
      </c>
      <c r="B242" s="8" t="s">
        <v>113</v>
      </c>
      <c r="C242" s="8" t="n">
        <v>1</v>
      </c>
      <c r="D242" s="8" t="n">
        <v>5676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 t="s">
        <v>48</v>
      </c>
      <c r="P242" s="8" t="s">
        <v>144</v>
      </c>
      <c r="Q242" s="8" t="n">
        <v>1</v>
      </c>
      <c r="R242" s="8" t="n">
        <v>0</v>
      </c>
    </row>
    <row r="243" customFormat="false" ht="15" hidden="false" customHeight="false" outlineLevel="0" collapsed="false">
      <c r="A243" s="8" t="s">
        <v>386</v>
      </c>
      <c r="B243" s="8" t="s">
        <v>113</v>
      </c>
      <c r="C243" s="8" t="n">
        <v>0</v>
      </c>
      <c r="D243" s="8" t="n">
        <v>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 t="s">
        <v>152</v>
      </c>
      <c r="Q243" s="8" t="n">
        <v>0</v>
      </c>
      <c r="R243" s="8" t="n">
        <v>0</v>
      </c>
    </row>
    <row r="244" customFormat="false" ht="15" hidden="false" customHeight="false" outlineLevel="0" collapsed="false">
      <c r="A244" s="8" t="s">
        <v>387</v>
      </c>
      <c r="B244" s="8" t="s">
        <v>113</v>
      </c>
      <c r="C244" s="8" t="n">
        <v>1</v>
      </c>
      <c r="D244" s="8" t="n">
        <v>6330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 t="s">
        <v>48</v>
      </c>
      <c r="P244" s="8" t="s">
        <v>144</v>
      </c>
      <c r="Q244" s="8" t="n">
        <v>1</v>
      </c>
      <c r="R244" s="8" t="n">
        <v>0</v>
      </c>
    </row>
    <row r="245" customFormat="false" ht="15" hidden="false" customHeight="false" outlineLevel="0" collapsed="false">
      <c r="A245" s="8" t="s">
        <v>388</v>
      </c>
      <c r="B245" s="8" t="s">
        <v>113</v>
      </c>
      <c r="C245" s="8" t="n">
        <v>0</v>
      </c>
      <c r="D245" s="8" t="n">
        <v>0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 t="s">
        <v>152</v>
      </c>
      <c r="Q245" s="8" t="n">
        <v>0</v>
      </c>
      <c r="R245" s="8" t="n">
        <v>0</v>
      </c>
    </row>
    <row r="246" customFormat="false" ht="15" hidden="false" customHeight="false" outlineLevel="0" collapsed="false">
      <c r="A246" s="8" t="s">
        <v>389</v>
      </c>
      <c r="B246" s="8" t="s">
        <v>113</v>
      </c>
      <c r="C246" s="8" t="n">
        <v>1</v>
      </c>
      <c r="D246" s="8" t="n">
        <v>12498</v>
      </c>
      <c r="E246" s="8"/>
      <c r="F246" s="8" t="s">
        <v>38</v>
      </c>
      <c r="G246" s="8"/>
      <c r="H246" s="8"/>
      <c r="I246" s="8"/>
      <c r="J246" s="8"/>
      <c r="K246" s="8"/>
      <c r="L246" s="8"/>
      <c r="M246" s="8"/>
      <c r="N246" s="8" t="s">
        <v>48</v>
      </c>
      <c r="O246" s="8" t="s">
        <v>48</v>
      </c>
      <c r="P246" s="8" t="s">
        <v>144</v>
      </c>
      <c r="Q246" s="8" t="n">
        <v>1</v>
      </c>
      <c r="R246" s="8" t="n">
        <v>1</v>
      </c>
    </row>
    <row r="247" customFormat="false" ht="15" hidden="false" customHeight="false" outlineLevel="0" collapsed="false">
      <c r="A247" s="8" t="s">
        <v>390</v>
      </c>
      <c r="B247" s="8" t="s">
        <v>113</v>
      </c>
      <c r="C247" s="8" t="n">
        <v>1</v>
      </c>
      <c r="D247" s="8" t="n">
        <v>5778</v>
      </c>
      <c r="E247" s="8"/>
      <c r="F247" s="8"/>
      <c r="G247" s="8"/>
      <c r="H247" s="8"/>
      <c r="I247" s="8"/>
      <c r="J247" s="8"/>
      <c r="K247" s="8"/>
      <c r="L247" s="8"/>
      <c r="M247" s="8"/>
      <c r="N247" s="8" t="s">
        <v>48</v>
      </c>
      <c r="O247" s="8" t="s">
        <v>48</v>
      </c>
      <c r="P247" s="8" t="s">
        <v>144</v>
      </c>
      <c r="Q247" s="8" t="n">
        <v>1</v>
      </c>
      <c r="R247" s="8" t="n">
        <v>0</v>
      </c>
    </row>
    <row r="248" customFormat="false" ht="15" hidden="false" customHeight="false" outlineLevel="0" collapsed="false">
      <c r="A248" s="8" t="s">
        <v>391</v>
      </c>
      <c r="B248" s="8" t="s">
        <v>113</v>
      </c>
      <c r="C248" s="8" t="n">
        <v>1</v>
      </c>
      <c r="D248" s="8" t="n">
        <v>844</v>
      </c>
      <c r="E248" s="8"/>
      <c r="F248" s="8"/>
      <c r="G248" s="8"/>
      <c r="H248" s="8"/>
      <c r="I248" s="8"/>
      <c r="J248" s="8"/>
      <c r="K248" s="8"/>
      <c r="L248" s="8"/>
      <c r="M248" s="8"/>
      <c r="N248" s="8" t="s">
        <v>48</v>
      </c>
      <c r="O248" s="8"/>
      <c r="P248" s="8" t="s">
        <v>144</v>
      </c>
      <c r="Q248" s="8" t="n">
        <v>1</v>
      </c>
      <c r="R248" s="8" t="n">
        <v>0</v>
      </c>
    </row>
    <row r="249" customFormat="false" ht="15" hidden="false" customHeight="false" outlineLevel="0" collapsed="false">
      <c r="A249" s="8" t="s">
        <v>392</v>
      </c>
      <c r="B249" s="8" t="s">
        <v>113</v>
      </c>
      <c r="C249" s="8" t="n">
        <v>1</v>
      </c>
      <c r="D249" s="8" t="n">
        <v>2890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 t="s">
        <v>48</v>
      </c>
      <c r="P249" s="8" t="s">
        <v>144</v>
      </c>
      <c r="Q249" s="8" t="n">
        <v>1</v>
      </c>
      <c r="R249" s="8" t="n">
        <v>0</v>
      </c>
    </row>
    <row r="250" customFormat="false" ht="15" hidden="false" customHeight="false" outlineLevel="0" collapsed="false">
      <c r="A250" s="8" t="s">
        <v>393</v>
      </c>
      <c r="B250" s="8" t="s">
        <v>113</v>
      </c>
      <c r="C250" s="8" t="n">
        <v>1</v>
      </c>
      <c r="D250" s="8" t="n">
        <v>844</v>
      </c>
      <c r="E250" s="8"/>
      <c r="F250" s="8"/>
      <c r="G250" s="8"/>
      <c r="H250" s="8"/>
      <c r="I250" s="8"/>
      <c r="J250" s="8"/>
      <c r="K250" s="8"/>
      <c r="L250" s="8"/>
      <c r="M250" s="8"/>
      <c r="N250" s="8" t="s">
        <v>48</v>
      </c>
      <c r="O250" s="8"/>
      <c r="P250" s="8" t="s">
        <v>144</v>
      </c>
      <c r="Q250" s="8" t="n">
        <v>1</v>
      </c>
      <c r="R250" s="8" t="n">
        <v>0</v>
      </c>
    </row>
    <row r="251" customFormat="false" ht="15" hidden="false" customHeight="false" outlineLevel="0" collapsed="false">
      <c r="A251" s="8" t="s">
        <v>394</v>
      </c>
      <c r="B251" s="8" t="s">
        <v>113</v>
      </c>
      <c r="C251" s="8" t="n">
        <v>1</v>
      </c>
      <c r="D251" s="8" t="n">
        <v>8060</v>
      </c>
      <c r="E251" s="8"/>
      <c r="F251" s="8"/>
      <c r="G251" s="8"/>
      <c r="H251" s="8"/>
      <c r="I251" s="8"/>
      <c r="J251" s="8"/>
      <c r="K251" s="8"/>
      <c r="L251" s="8"/>
      <c r="M251" s="8"/>
      <c r="N251" s="8" t="s">
        <v>48</v>
      </c>
      <c r="O251" s="8" t="s">
        <v>48</v>
      </c>
      <c r="P251" s="8" t="s">
        <v>144</v>
      </c>
      <c r="Q251" s="8" t="n">
        <v>1</v>
      </c>
      <c r="R251" s="8" t="n">
        <v>0</v>
      </c>
    </row>
    <row r="252" customFormat="false" ht="15" hidden="false" customHeight="false" outlineLevel="0" collapsed="false">
      <c r="A252" s="8" t="s">
        <v>395</v>
      </c>
      <c r="B252" s="8" t="s">
        <v>113</v>
      </c>
      <c r="C252" s="8" t="n">
        <v>1</v>
      </c>
      <c r="D252" s="8" t="n">
        <v>3216</v>
      </c>
      <c r="E252" s="8"/>
      <c r="F252" s="8"/>
      <c r="G252" s="8"/>
      <c r="H252" s="8"/>
      <c r="I252" s="8"/>
      <c r="J252" s="8"/>
      <c r="K252" s="8"/>
      <c r="L252" s="8"/>
      <c r="M252" s="8"/>
      <c r="N252" s="8" t="s">
        <v>48</v>
      </c>
      <c r="O252" s="8"/>
      <c r="P252" s="8" t="s">
        <v>144</v>
      </c>
      <c r="Q252" s="8" t="n">
        <v>1</v>
      </c>
      <c r="R252" s="8" t="n">
        <v>0</v>
      </c>
    </row>
    <row r="253" customFormat="false" ht="15" hidden="false" customHeight="false" outlineLevel="0" collapsed="false">
      <c r="A253" s="8" t="s">
        <v>396</v>
      </c>
      <c r="B253" s="8" t="s">
        <v>115</v>
      </c>
      <c r="C253" s="8" t="n">
        <v>1</v>
      </c>
      <c r="D253" s="8" t="n">
        <v>1000</v>
      </c>
      <c r="E253" s="8"/>
      <c r="F253" s="8"/>
      <c r="G253" s="8"/>
      <c r="H253" s="8"/>
      <c r="I253" s="8"/>
      <c r="J253" s="8"/>
      <c r="K253" s="8"/>
      <c r="L253" s="8"/>
      <c r="M253" s="8"/>
      <c r="N253" s="8" t="s">
        <v>48</v>
      </c>
      <c r="O253" s="8"/>
      <c r="P253" s="8" t="s">
        <v>144</v>
      </c>
      <c r="Q253" s="8" t="n">
        <v>1</v>
      </c>
      <c r="R253" s="8" t="n">
        <v>0</v>
      </c>
    </row>
    <row r="254" customFormat="false" ht="15" hidden="false" customHeight="false" outlineLevel="0" collapsed="false">
      <c r="A254" s="8" t="s">
        <v>397</v>
      </c>
      <c r="B254" s="8" t="s">
        <v>115</v>
      </c>
      <c r="C254" s="8" t="n">
        <v>1</v>
      </c>
      <c r="D254" s="8" t="n">
        <v>6330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 t="s">
        <v>48</v>
      </c>
      <c r="P254" s="8" t="s">
        <v>144</v>
      </c>
      <c r="Q254" s="8" t="n">
        <v>1</v>
      </c>
      <c r="R254" s="8" t="n">
        <v>0</v>
      </c>
    </row>
    <row r="255" customFormat="false" ht="15" hidden="false" customHeight="false" outlineLevel="0" collapsed="false">
      <c r="A255" s="8" t="s">
        <v>398</v>
      </c>
      <c r="B255" s="8" t="s">
        <v>115</v>
      </c>
      <c r="C255" s="8" t="n">
        <v>1</v>
      </c>
      <c r="D255" s="8" t="n">
        <v>5778</v>
      </c>
      <c r="E255" s="8"/>
      <c r="F255" s="8"/>
      <c r="G255" s="8"/>
      <c r="H255" s="8"/>
      <c r="I255" s="8"/>
      <c r="J255" s="8"/>
      <c r="K255" s="8"/>
      <c r="L255" s="8"/>
      <c r="M255" s="8"/>
      <c r="N255" s="8" t="s">
        <v>48</v>
      </c>
      <c r="O255" s="8" t="s">
        <v>48</v>
      </c>
      <c r="P255" s="8" t="s">
        <v>144</v>
      </c>
      <c r="Q255" s="8" t="n">
        <v>1</v>
      </c>
      <c r="R255" s="8" t="n">
        <v>0</v>
      </c>
    </row>
    <row r="256" customFormat="false" ht="15" hidden="false" customHeight="false" outlineLevel="0" collapsed="false">
      <c r="A256" s="8" t="s">
        <v>399</v>
      </c>
      <c r="B256" s="8" t="s">
        <v>115</v>
      </c>
      <c r="C256" s="8" t="n">
        <v>1</v>
      </c>
      <c r="D256" s="8" t="n">
        <v>2890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 t="s">
        <v>48</v>
      </c>
      <c r="P256" s="8" t="s">
        <v>144</v>
      </c>
      <c r="Q256" s="8" t="n">
        <v>1</v>
      </c>
      <c r="R256" s="8" t="n">
        <v>0</v>
      </c>
    </row>
    <row r="257" customFormat="false" ht="15" hidden="false" customHeight="false" outlineLevel="0" collapsed="false">
      <c r="A257" s="8" t="s">
        <v>400</v>
      </c>
      <c r="B257" s="8" t="s">
        <v>115</v>
      </c>
      <c r="C257" s="8" t="n">
        <v>1</v>
      </c>
      <c r="D257" s="8" t="n">
        <v>8060</v>
      </c>
      <c r="E257" s="8"/>
      <c r="F257" s="8"/>
      <c r="G257" s="8"/>
      <c r="H257" s="8"/>
      <c r="I257" s="8"/>
      <c r="J257" s="8"/>
      <c r="K257" s="8"/>
      <c r="L257" s="8"/>
      <c r="M257" s="8"/>
      <c r="N257" s="8" t="s">
        <v>48</v>
      </c>
      <c r="O257" s="8" t="s">
        <v>48</v>
      </c>
      <c r="P257" s="8" t="s">
        <v>144</v>
      </c>
      <c r="Q257" s="8" t="n">
        <v>1</v>
      </c>
      <c r="R257" s="8" t="n">
        <v>0</v>
      </c>
    </row>
    <row r="258" customFormat="false" ht="15" hidden="false" customHeight="false" outlineLevel="0" collapsed="false">
      <c r="A258" s="8" t="s">
        <v>401</v>
      </c>
      <c r="B258" s="8" t="s">
        <v>115</v>
      </c>
      <c r="C258" s="8" t="n">
        <v>1</v>
      </c>
      <c r="D258" s="8" t="n">
        <v>12498</v>
      </c>
      <c r="E258" s="8"/>
      <c r="F258" s="8" t="s">
        <v>38</v>
      </c>
      <c r="G258" s="8"/>
      <c r="H258" s="8"/>
      <c r="I258" s="8"/>
      <c r="J258" s="8"/>
      <c r="K258" s="8"/>
      <c r="L258" s="8"/>
      <c r="M258" s="8"/>
      <c r="N258" s="8" t="s">
        <v>48</v>
      </c>
      <c r="O258" s="8" t="s">
        <v>48</v>
      </c>
      <c r="P258" s="8" t="s">
        <v>144</v>
      </c>
      <c r="Q258" s="8" t="n">
        <v>1</v>
      </c>
      <c r="R258" s="8" t="n">
        <v>1</v>
      </c>
    </row>
    <row r="259" customFormat="false" ht="15" hidden="false" customHeight="false" outlineLevel="0" collapsed="false">
      <c r="A259" s="8" t="s">
        <v>402</v>
      </c>
      <c r="B259" s="8" t="s">
        <v>115</v>
      </c>
      <c r="C259" s="8" t="n">
        <v>0</v>
      </c>
      <c r="D259" s="8" t="n">
        <v>0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 t="s">
        <v>152</v>
      </c>
      <c r="Q259" s="8" t="n">
        <v>0</v>
      </c>
      <c r="R259" s="8" t="n">
        <v>0</v>
      </c>
    </row>
    <row r="260" customFormat="false" ht="15" hidden="false" customHeight="false" outlineLevel="0" collapsed="false">
      <c r="A260" s="8" t="s">
        <v>403</v>
      </c>
      <c r="B260" s="8" t="s">
        <v>116</v>
      </c>
      <c r="C260" s="8" t="n">
        <v>1</v>
      </c>
      <c r="D260" s="8" t="n">
        <v>1000</v>
      </c>
      <c r="E260" s="8"/>
      <c r="F260" s="8"/>
      <c r="G260" s="8"/>
      <c r="H260" s="8"/>
      <c r="I260" s="8"/>
      <c r="J260" s="8"/>
      <c r="K260" s="8"/>
      <c r="L260" s="8"/>
      <c r="M260" s="8"/>
      <c r="N260" s="8" t="s">
        <v>48</v>
      </c>
      <c r="O260" s="8"/>
      <c r="P260" s="8" t="s">
        <v>144</v>
      </c>
      <c r="Q260" s="8" t="n">
        <v>1</v>
      </c>
      <c r="R260" s="8" t="n">
        <v>0</v>
      </c>
    </row>
    <row r="261" customFormat="false" ht="15" hidden="false" customHeight="false" outlineLevel="0" collapsed="false">
      <c r="A261" s="8" t="s">
        <v>404</v>
      </c>
      <c r="B261" s="8" t="s">
        <v>116</v>
      </c>
      <c r="C261" s="8" t="n">
        <v>1</v>
      </c>
      <c r="D261" s="8" t="n">
        <v>6330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 t="s">
        <v>48</v>
      </c>
      <c r="P261" s="8" t="s">
        <v>144</v>
      </c>
      <c r="Q261" s="8" t="n">
        <v>1</v>
      </c>
      <c r="R261" s="8" t="n">
        <v>0</v>
      </c>
    </row>
    <row r="262" customFormat="false" ht="15" hidden="false" customHeight="false" outlineLevel="0" collapsed="false">
      <c r="A262" s="8" t="s">
        <v>405</v>
      </c>
      <c r="B262" s="8" t="s">
        <v>116</v>
      </c>
      <c r="C262" s="8" t="n">
        <v>1</v>
      </c>
      <c r="D262" s="8" t="n">
        <v>5778</v>
      </c>
      <c r="E262" s="8"/>
      <c r="F262" s="8"/>
      <c r="G262" s="8"/>
      <c r="H262" s="8"/>
      <c r="I262" s="8"/>
      <c r="J262" s="8"/>
      <c r="K262" s="8"/>
      <c r="L262" s="8"/>
      <c r="M262" s="8"/>
      <c r="N262" s="8" t="s">
        <v>48</v>
      </c>
      <c r="O262" s="8" t="s">
        <v>48</v>
      </c>
      <c r="P262" s="8" t="s">
        <v>144</v>
      </c>
      <c r="Q262" s="8" t="n">
        <v>1</v>
      </c>
      <c r="R262" s="8" t="n">
        <v>0</v>
      </c>
    </row>
    <row r="263" customFormat="false" ht="15" hidden="false" customHeight="false" outlineLevel="0" collapsed="false">
      <c r="A263" s="8" t="s">
        <v>406</v>
      </c>
      <c r="B263" s="8" t="s">
        <v>116</v>
      </c>
      <c r="C263" s="8" t="n">
        <v>1</v>
      </c>
      <c r="D263" s="8" t="n">
        <v>2890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 t="s">
        <v>48</v>
      </c>
      <c r="P263" s="8" t="s">
        <v>144</v>
      </c>
      <c r="Q263" s="8" t="n">
        <v>1</v>
      </c>
      <c r="R263" s="8" t="n">
        <v>0</v>
      </c>
    </row>
    <row r="264" customFormat="false" ht="15" hidden="false" customHeight="false" outlineLevel="0" collapsed="false">
      <c r="A264" s="8" t="s">
        <v>407</v>
      </c>
      <c r="B264" s="8" t="s">
        <v>116</v>
      </c>
      <c r="C264" s="8" t="n">
        <v>1</v>
      </c>
      <c r="D264" s="8" t="n">
        <v>8060</v>
      </c>
      <c r="E264" s="8"/>
      <c r="F264" s="8"/>
      <c r="G264" s="8"/>
      <c r="H264" s="8"/>
      <c r="I264" s="8"/>
      <c r="J264" s="8"/>
      <c r="K264" s="8"/>
      <c r="L264" s="8"/>
      <c r="M264" s="8"/>
      <c r="N264" s="8" t="s">
        <v>48</v>
      </c>
      <c r="O264" s="8" t="s">
        <v>48</v>
      </c>
      <c r="P264" s="8" t="s">
        <v>144</v>
      </c>
      <c r="Q264" s="8" t="n">
        <v>1</v>
      </c>
      <c r="R264" s="8" t="n">
        <v>0</v>
      </c>
    </row>
    <row r="265" customFormat="false" ht="15" hidden="false" customHeight="false" outlineLevel="0" collapsed="false">
      <c r="A265" s="8" t="s">
        <v>408</v>
      </c>
      <c r="B265" s="8" t="s">
        <v>116</v>
      </c>
      <c r="C265" s="8" t="n">
        <v>1</v>
      </c>
      <c r="D265" s="8" t="n">
        <v>12498</v>
      </c>
      <c r="E265" s="8"/>
      <c r="F265" s="8" t="s">
        <v>38</v>
      </c>
      <c r="G265" s="8"/>
      <c r="H265" s="8"/>
      <c r="I265" s="8"/>
      <c r="J265" s="8"/>
      <c r="K265" s="8"/>
      <c r="L265" s="8"/>
      <c r="M265" s="8"/>
      <c r="N265" s="8" t="s">
        <v>48</v>
      </c>
      <c r="O265" s="8" t="s">
        <v>48</v>
      </c>
      <c r="P265" s="8" t="s">
        <v>144</v>
      </c>
      <c r="Q265" s="8" t="n">
        <v>1</v>
      </c>
      <c r="R265" s="8" t="n">
        <v>1</v>
      </c>
    </row>
    <row r="266" customFormat="false" ht="15" hidden="false" customHeight="false" outlineLevel="0" collapsed="false">
      <c r="A266" s="8" t="s">
        <v>409</v>
      </c>
      <c r="B266" s="8" t="s">
        <v>116</v>
      </c>
      <c r="C266" s="8" t="n">
        <v>0</v>
      </c>
      <c r="D266" s="8" t="n">
        <v>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 t="s">
        <v>152</v>
      </c>
      <c r="Q266" s="8" t="n">
        <v>0</v>
      </c>
      <c r="R266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2026-07-21T03:26:47Z</dcterms:created>
  <dc:creator>openpyxl</dc:creator>
  <dc:description/>
  <dc:language>en-US</dc:language>
  <cp:lastModifiedBy/>
  <dcterms:modified xsi:type="dcterms:W3CDTF">2026-07-21T03:26:48Z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