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Why_These_Results" sheetId="9" state="visible" r:id="rId11"/>
    <sheet name="Da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<sst xmlns="http://schemas.openxmlformats.org/spreadsheetml/2006/main" count="513" uniqueCount="247">
  <si>
    <t xml:space="preserve">Wormhole_Obfuscated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</si>
  <si>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</si>
  <si>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</si>
  <si>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</si>
  <si>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</si>
  <si>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</si>
  <si>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</si>
  <si>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</si>
  <si>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</si>
  <si>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</si>
  <si>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</si>
  <si>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</si>
  <si>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</si>
  <si>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</si>
  <si>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</si>
  <si>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</si>
  <si>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</si>
  <si>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</si>
  <si>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</si>
  <si>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</si>
  <si>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</si>
  <si>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</si>
  <si>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</si>
  <si>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</si>
  <si>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</si>
  <si>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</si>
  <si>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</si>
  <si>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</si>
  <si>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</si>
  <si>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</si>
  <si>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Wormhole_Obfuscated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</si>
  <si>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</si>
  <si>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</si>
  <si>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</si>
  <si>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</si>
  <si>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Securify</t>
  </si>
  <si>
    <t xml:space="preserve">Bytecode-level detection</t>
  </si>
  <si>
    <t xml:space="preserve">Integer</t>
  </si>
  <si>
    <t xml:space="preserve">Not covered (0 detections)</t>
  </si>
  <si>
    <t xml:space="preserve">Zero detections this run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</si>
  <si>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</si>
  <si>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</si>
  <si>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</si>
  <si>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</si>
  <si>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</si>
  <si>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</si>
  <si>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Mythril</t>
  </si>
  <si>
    <t xml:space="preserve">Selfdestruct</t>
  </si>
  <si>
    <t xml:space="preserve">Locked Ether</t>
  </si>
  <si>
    <t xml:space="preserve">Ether Leak</t>
  </si>
  <si>
    <t xml:space="preserve">MAIAN</t>
  </si>
  <si>
    <t xml:space="preserve">OVERALL VULNERABLE</t>
  </si>
  <si>
    <t xml:space="preserve">Any tool</t>
  </si>
  <si>
    <t xml:space="preserve">Flagged by &gt;=1 tool</t>
  </si>
  <si>
    <t xml:space="preserve">Wormhole_Obfuscated — Detection Count Analysis</t>
  </si>
  <si>
    <t xml:space="preserve">Flags per contract = count of (Reentrancy, Access Control, Unchecked Call, TOD, DoS,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</si>
  <si>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</si>
  <si>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</si>
  <si>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</si>
  <si>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</si>
  <si>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</si>
  <si>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</si>
  <si>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4 categories flagged</t>
  </si>
  <si>
    <t xml:space="preserve">5 categories flagged</t>
  </si>
  <si>
    <t xml:space="preserve">6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</si>
  <si>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</si>
  <si>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</si>
  <si>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</si>
  <si>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Wormhole_Obfuscated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</si>
  <si>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</si>
  <si>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</si>
  <si>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</si>
  <si>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</si>
  <si>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Symbolic execution, financial-flow analysis</t>
  </si>
  <si>
    <t xml:space="preserve">Bytecode symbolic execution</t>
  </si>
  <si>
    <t xml:space="preserve">Reentrancy, Access Control, Unchecked Call, TOD</t>
  </si>
  <si>
    <t xml:space="preserve">Others (n/a)</t>
  </si>
  <si>
    <t xml:space="preserve">Integer, Delegatecall, Timestamp, Selfdestruct, Locked Ether</t>
  </si>
  <si>
    <t xml:space="preserve">Zero detections in this run</t>
  </si>
  <si>
    <t xml:space="preserve">Wormhole_Obfuscated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</si>
  <si>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</si>
  <si>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</si>
  <si>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</si>
  <si>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</si>
  <si>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</si>
  <si>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</si>
  <si>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</si>
  <si>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</si>
  <si>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</si>
  <si>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</si>
  <si>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</si>
  <si>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</si>
  <si>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</si>
  <si>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</si>
  <si>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</si>
  <si>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arbitrum</t>
  </si>
  <si>
    <t xml:space="preserve">avalanche</t>
  </si>
  <si>
    <t xml:space="preserve">base</t>
  </si>
  <si>
    <t xml:space="preserve">berachain</t>
  </si>
  <si>
    <t xml:space="preserve">blast</t>
  </si>
  <si>
    <t xml:space="preserve">bsc</t>
  </si>
  <si>
    <t xml:space="preserve">celo</t>
  </si>
  <si>
    <t xml:space="preserve">ethereum</t>
  </si>
  <si>
    <t xml:space="preserve">mantle</t>
  </si>
  <si>
    <t xml:space="preserve">moonbeam</t>
  </si>
  <si>
    <t xml:space="preserve">optimism</t>
  </si>
  <si>
    <t xml:space="preserve">polygon</t>
  </si>
  <si>
    <t xml:space="preserve">sei</t>
  </si>
  <si>
    <t xml:space="preserve">sonic</t>
  </si>
  <si>
    <t xml:space="preserve">unichain</t>
  </si>
  <si>
    <t xml:space="preserve">world_chain</t>
  </si>
  <si>
    <t xml:space="preserve">Wormhole_Obfuscated — Tool Agreement (Jaccard Index)</t>
  </si>
  <si>
    <t xml:space="preserve">Pairwise agreement among 3 tools (MAIAN, Mythril, Securify), among contracts with bytecode.</t>
  </si>
  <si>
    <t xml:space="preserve">MAIAN vs Mythril</t>
  </si>
  <si>
    <t xml:space="preserve">Set</t>
  </si>
  <si>
    <t xml:space="preserve">Count</t>
  </si>
  <si>
    <t xml:space="preserve">Definition</t>
  </si>
  <si>
    <t xml:space="preserve">Both flag (A ∩ B)</t>
  </si>
  <si>
    <t xml:space="preserve">MAIAN AND Mythril</t>
  </si>
  <si>
    <t xml:space="preserve">Only MAIAN flags (A \ B)</t>
  </si>
  <si>
    <t xml:space="preserve">MAIAN only</t>
  </si>
  <si>
    <t xml:space="preserve">Only Mythril flags (B \ A)</t>
  </si>
  <si>
    <t xml:space="preserve">Mythril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</si>
  <si>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</si>
  <si>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</si>
  <si>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</si>
  <si>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J(MAIAN,Mythril) = |A∩B| / |A∪B|</t>
  </si>
  <si>
    <t xml:space="preserve">MAIAN vs Securify</t>
  </si>
  <si>
    <t xml:space="preserve">MAIAN AND Securify</t>
  </si>
  <si>
    <t xml:space="preserve">Only Securify flags (B \ A)</t>
  </si>
  <si>
    <t xml:space="preserve">Securify only</t>
  </si>
  <si>
    <t xml:space="preserve">Jaccard Index J(MAIAN,Securify) = |A∩B| / |A∪B|</t>
  </si>
  <si>
    <t xml:space="preserve">Mythril vs Securify</t>
  </si>
  <si>
    <t xml:space="preserve">Mythril AND Securify</t>
  </si>
  <si>
    <t xml:space="preserve">Only Mythril flags (A \ B)</t>
  </si>
  <si>
    <t xml:space="preserve">Jaccard Index J(Mythril,Securify) = |A∩B| / |A∪B|</t>
  </si>
  <si>
    <t xml:space="preserve">Wormhole_Obfuscated — Key Findings</t>
  </si>
  <si>
    <t xml:space="preserve">Wormhole Obfuscated — Why These Results: Forensic Explanation of the Detection Pattern</t>
  </si>
  <si>
    <t xml:space="preserve">Findings below combine (a) direct inspection of the raw BOSC-obfuscated bytecode where available, and (b) matched-pair comparison against the ORIGINAL (unobfuscated) run on the same addresses.</t>
  </si>
  <si>
    <t xml:space="preserve">1. WHY THE TOOL SET FIRING HERE IS Mythril/MAIAN/Securify</t>
  </si>
  <si>
    <t xml:space="preserve">Wormhole's obfuscated run retains all three tools (Mythril, MAIAN, Securify) actually firing, unlike CCIP (no Mythril) and Axelar (Mythril only). This makes Wormhole one of the more complete obfuscated datasets for a fair category-level comparison against its original run.</t>
  </si>
  <si>
    <t xml:space="preserve">2. WHAT CHANGED VERSUS THE ORIGINAL (UNOBFUSCATED) BYTECODE, SAME CONTRACTS</t>
  </si>
  <si>
    <t xml:space="preserve">On the 25 addresses successfully analyzed in BOTH the original and obfuscated runs: original vulnerable rate 100.0% -&gt; obfuscated vulnerable rate 44.0%. 14 contracts that were flagged originally evaded ALL detection after obfuscation (56.0% evasion rate among originally-flagged contracts); 0 contracts that were clean originally were newly flagged after obfuscation.</t>
  </si>
  <si>
    <t xml:space="preserve">3. BYTECODE-LEVEL OBSERVATIONS</t>
  </si>
  <si>
    <t xml:space="preserve">Bytecode text is available for 86 of 86 obfuscated contracts, ranging 105-809 hex characters (median 159). Note: BOSC's obfuscated bytecode export in this dataset is not formatted identically to the raw eth_getCode output used for the original bytecode analysis (no 0x prefix, and apparent leading-zero/byte normalization), so direct length-for-length comparison against the original bytecode reports should be treated as illustrative rather than exact.</t>
  </si>
  <si>
    <t xml:space="preserve">Average CALLVALUE (opcode 0x34) occurrences per contract: 0.22.</t>
  </si>
  <si>
    <t xml:space="preserve">SUMMARY</t>
  </si>
  <si>
    <t xml:space="preserve">Wormhole obfuscated shows a 56.0% point drop in matched-contract vulnerable rate, with both evasion (14 contracts) and no new detections - consistent with obfuscation partially, not completely, defeating this dataset's bytecode-level tools.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</si>
  <si>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</si>
  <si>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</si>
  <si>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</si>
  <si>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</si>
  <si>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</si>
  <si>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</si>
  <si>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</si>
  <si>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</si>
  <si>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</si>
  <si>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</si>
  <si>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Securify_Flag</t>
  </si>
  <si>
    <t xml:space="preserve">arbitrum_0x0b2402144Bb366A632D14B83F244D2e0e21bD39c</t>
  </si>
  <si>
    <t xml:space="preserve">No</t>
  </si>
  <si>
    <t xml:space="preserve">arbitrum_0x2703483B1a5a7c577e8680de9Df8Be03c6f30e3c</t>
  </si>
  <si>
    <t xml:space="preserve">arbitrum_0x32eec14c963c23176bd8951f192292006756bDcC</t>
  </si>
  <si>
    <t xml:space="preserve">Yes</t>
  </si>
  <si>
    <t xml:space="preserve">arbitrum_0x36CF4c88FA548c6Ad9fcDc696e1c27Bb3306163F</t>
  </si>
  <si>
    <t xml:space="preserve">arbitrum_0x3980f8318fc03d79033Bbb421A622CDF8d2Eeab4</t>
  </si>
  <si>
    <t xml:space="preserve">arbitrum_0x3dD14D553cFD986EAC8e3bddF629d82073e188c8</t>
  </si>
  <si>
    <t xml:space="preserve">arbitrum_0xa5f208e072434bC67592E4C49C1B991BA79BCA46</t>
  </si>
  <si>
    <t xml:space="preserve">avalanche_0x09Fb06A271faFf70A651047395AaEb6265265F13</t>
  </si>
  <si>
    <t xml:space="preserve">avalanche_0x0e082F06FF657D94310cB8cE8B0D9a04541d8052</t>
  </si>
  <si>
    <t xml:space="preserve">avalanche_0x13947Bd48b18E53fdAeEe77F3473391aC727C638</t>
  </si>
  <si>
    <t xml:space="preserve">avalanche_0x169D91C797edF56100F1B765268145660503a423</t>
  </si>
  <si>
    <t xml:space="preserve">avalanche_0x4661F0E629E4ba8D04Ee90080Aee079740B00381</t>
  </si>
  <si>
    <t xml:space="preserve">avalanche_0x54a8e5f9c4CbA08F9943965859F6c34eAF03E26c</t>
  </si>
  <si>
    <t xml:space="preserve">avalanche_0x58CC3AE5C097b213cE3c81979e1B9f9570746AA5</t>
  </si>
  <si>
    <t xml:space="preserve">avalanche_0xA3a2A615774d34c6a4dF443C488B084eacaBd2D0</t>
  </si>
  <si>
    <t xml:space="preserve">avalanche_0xB31f66AA3C1e785363F0875A1B74E27b85FD66c7</t>
  </si>
  <si>
    <t xml:space="preserve">avalanche_0xd00ae08403B9bbb9124bB305C09058E32C39A48c</t>
  </si>
  <si>
    <t xml:space="preserve">avalanche_0xf7B6737Ca9c4e08aE573F75A97B73D7a813f5De5</t>
  </si>
  <si>
    <t xml:space="preserve">base_0x03faBB06Fa052557143dC28eFCFc63FC12843f1D</t>
  </si>
  <si>
    <t xml:space="preserve">base_0x13947Bd48b18E53fdAeEe77F3473391aC727C638</t>
  </si>
  <si>
    <t xml:space="preserve">base_0x265fd0500a430d65d6D79Cd8707F24C048604658</t>
  </si>
  <si>
    <t xml:space="preserve">base_0x58CC3AE5C097b213cE3c81979e1B9f9570746AA5</t>
  </si>
  <si>
    <t xml:space="preserve">base_0x838a95B6a3E06B6f11C437e22f3C7561a6ec40F1</t>
  </si>
  <si>
    <t xml:space="preserve">base_0x8d2de8d2f73F1F4cAB472AC9A881C9b123C79627</t>
  </si>
  <si>
    <t xml:space="preserve">base_0x9E1936E91A4a5AE5A5F75fFc472D6cb8e93597ea</t>
  </si>
  <si>
    <t xml:space="preserve">base_0xDA3adC6621B2677BEf9aD26598e6939CF0D92f88</t>
  </si>
  <si>
    <t xml:space="preserve">base_0xbebdb6C8ddC678FfA9f8748f85C815C556Dd8ac6</t>
  </si>
  <si>
    <t xml:space="preserve">berachain_0x0Dd7a5a32311b8D87A615Cc7f079B632D3d5e2D3</t>
  </si>
  <si>
    <t xml:space="preserve">berachain_0x3Ff72741fd67D6AD0668d93B41a09248F4700560</t>
  </si>
  <si>
    <t xml:space="preserve">berachain_0x6969696969696969696969696969696969696969</t>
  </si>
  <si>
    <t xml:space="preserve">berachain_0xCa1D5a146B03f6303baF59e5AD5615ae0b9d146D</t>
  </si>
  <si>
    <t xml:space="preserve">blast_0x24850c6f61C438823F01B7A3BF2B89B72174Fa9d</t>
  </si>
  <si>
    <t xml:space="preserve">blast_0x9D020B1697035d9d54f115194c9e04a1e4Eb9aF7</t>
  </si>
  <si>
    <t xml:space="preserve">blast_0xbebdb6C8ddC678FfA9f8748f85C815C556Dd8ac6</t>
  </si>
  <si>
    <t xml:space="preserve">bsc_0x13947Bd48b18E53fdAeEe77F3473391aC727C638</t>
  </si>
  <si>
    <t xml:space="preserve">bsc_0x58CC3AE5C097b213cE3c81979e1B9f9570746AA5</t>
  </si>
  <si>
    <t xml:space="preserve">bsc_0x5a58505a96D1dbf8dF91cB21B54419FC36e93fdE</t>
  </si>
  <si>
    <t xml:space="preserve">bsc_0x98f3c9e6E3fAce36bAAd05FE09d375Ef1464288B</t>
  </si>
  <si>
    <t xml:space="preserve">bsc_0xB6F6D86a8f9879A9c87f643768d9efc38c1Da6E7</t>
  </si>
  <si>
    <t xml:space="preserve">bsc_0xae13d989daC2f0dEbFf460aC112a837C89BAa7cd</t>
  </si>
  <si>
    <t xml:space="preserve">bsc_0xbb4CdB9CBd36B01bD1cBaEBF2De08d9173bc095c</t>
  </si>
  <si>
    <t xml:space="preserve">celo_0x796Dff6D74F3E27060B71255Fe517BFb23C93eed</t>
  </si>
  <si>
    <t xml:space="preserve">celo_0xA6A377d75ca5c9052c9a77ED1e865Cc25Bd97bf3</t>
  </si>
  <si>
    <t xml:space="preserve">celo_0xa321448d90d4e5b0A732867c18eA198e75CAC48E</t>
  </si>
  <si>
    <t xml:space="preserve">celo_0xe6Ea5087c6860B94Cf098a403506262D8F28cF05</t>
  </si>
  <si>
    <t xml:space="preserve">ethereum_0x1462800febd49232798132e8c8b721aa86c4c209</t>
  </si>
  <si>
    <t xml:space="preserve">ethereum_0x23Fea5514DFC9821479fBE18BA1D7e1A61f6FfCf</t>
  </si>
  <si>
    <t xml:space="preserve">ethereum_0x3ee18B2214AFF97000D974cf647E7C347E8fa585</t>
  </si>
  <si>
    <t xml:space="preserve">ethereum_0x6FFd7EdE62328b3Af38FCD61461Bbfc52F5651fE</t>
  </si>
  <si>
    <t xml:space="preserve">ethereum_0x70287c79ee41C5D1df8259Cd68Ba0890cd389c47</t>
  </si>
  <si>
    <t xml:space="preserve">ethereum_0x84EEe8dBa37C36947397E1E11251cA9A06Fc6F8a</t>
  </si>
  <si>
    <t xml:space="preserve">ethereum_0x98f3c9e6E3fAce36bAAd05FE09d375Ef1464288B</t>
  </si>
  <si>
    <t xml:space="preserve">ethereum_0xA25862D222Eb8343505c12d96e097e4332468D60</t>
  </si>
  <si>
    <t xml:space="preserve">ethereum_0xAaDA05BD399372f0b0463744C09113c137636f6a</t>
  </si>
  <si>
    <t xml:space="preserve">ethereum_0xC02aaA39b223FE8D0A0e5C4F27eAD9083C756Cc2</t>
  </si>
  <si>
    <t xml:space="preserve">ethereum_0xF22F1c0A3a8Cb42F695601731974784C499C4EF3</t>
  </si>
  <si>
    <t xml:space="preserve">mantle_0x24850c6f61C438823F01B7A3BF2B89B72174Fa9d</t>
  </si>
  <si>
    <t xml:space="preserve">mantle_0x78c1b0C915c4FAA5FffA6CAbf0219DA63d7f4cb8</t>
  </si>
  <si>
    <t xml:space="preserve">mantle_0xbebdb6C8ddC678FfA9f8748f85C815C556Dd8ac6</t>
  </si>
  <si>
    <t xml:space="preserve">moonbeam_0x453cfbe096c0f8d763e8c5f24b441097d577bde2</t>
  </si>
  <si>
    <t xml:space="preserve">moonbeam_0x85D06449C78064c2E02d787e9DC71716786F8D19</t>
  </si>
  <si>
    <t xml:space="preserve">moonbeam_0xAcc15dC74880C9944775448304B263D191c6077F</t>
  </si>
  <si>
    <t xml:space="preserve">moonbeam_0xC8e2b0cD52Cf01b0Ce87d389Daa3d414d4cE29f3</t>
  </si>
  <si>
    <t xml:space="preserve">moonbeam_0xb1731c586ca89a23809861c6103f0b96b3f57d92</t>
  </si>
  <si>
    <t xml:space="preserve">optimism_0x0E09a3081837ff23D2e59B179E0Bc48A349Afbd8</t>
  </si>
  <si>
    <t xml:space="preserve">optimism_0x13947Bd48b18E53fdAeEe77F3473391aC727C638</t>
  </si>
  <si>
    <t xml:space="preserve">optimism_0x1D68124e65faFC907325e3EDbF8c4d84499DAa8b</t>
  </si>
  <si>
    <t xml:space="preserve">optimism_0x58CC3AE5C097b213cE3c81979e1B9f9570746AA5</t>
  </si>
  <si>
    <t xml:space="preserve">optimism_0x85B704501f6AE718205C0636260768C4e72ac3e7</t>
  </si>
  <si>
    <t xml:space="preserve">optimism_0xEe91C335eab126dF5fDB3797EA9d6aD93aeC9722</t>
  </si>
  <si>
    <t xml:space="preserve">optimism_0xa3B6551cCbB5Fe1dc33b71EE3590B1Df22ae75B3</t>
  </si>
  <si>
    <t xml:space="preserve">optimism_0xfE8cD454b4A1CA468B57D79c0cc77Ef5B6f64585</t>
  </si>
  <si>
    <t xml:space="preserve">polygon_0x0B23efA164aB3eD08e9a39AC7aD930Ff4F5A5e81</t>
  </si>
  <si>
    <t xml:space="preserve">polygon_0x0FF28217dCc90372345954563486528aa865cDd6</t>
  </si>
  <si>
    <t xml:space="preserve">polygon_0x0d500B1d8E8eF31E21C99d1Db9A6444d3ADf1270</t>
  </si>
  <si>
    <t xml:space="preserve">polygon_0x2a856931603930B827B1A4352FB4D66fA029F123</t>
  </si>
  <si>
    <t xml:space="preserve">polygon_0x5a58505a96D1dbf8dF91cB21B54419FC36e93fdE</t>
  </si>
  <si>
    <t xml:space="preserve">polygon_0x7A4B5a56256163F07b2C80A7cA55aBE66c4ec4d7</t>
  </si>
  <si>
    <t xml:space="preserve">polygon_0x90BBd86a6Fe93D3bc3ed6335935447E75fAb7fCf</t>
  </si>
  <si>
    <t xml:space="preserve">sei_0x1D6FeA87671F7c5E184F4c59c3BdcEc5CFC3eC1c</t>
  </si>
  <si>
    <t xml:space="preserve">sonic_0x3Fdc36b4260Da38fBDba1125cCBD33DD0AC74812</t>
  </si>
  <si>
    <t xml:space="preserve">unichain_0x574b7864119c9223a9870ea614dc91a8ee09e512</t>
  </si>
  <si>
    <t xml:space="preserve">unichain_0x764dD868eAdD27ce57BCB801E4ca4a193d231Aed</t>
  </si>
  <si>
    <t xml:space="preserve">world_chain_0x8689b4E6226AdC8fa8FF80aCc3a60AcE31e8804B</t>
  </si>
  <si>
    <t xml:space="preserve">world_chain_0xc309275443519adca74c9136b02A38eF96E3a1f6</t>
  </si>
  <si>
    <t xml:space="preserve">world_chain_0xcbcEe4e081464A15d8Ad5f58BB493954421eB506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</si>
</sst>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tr">
        <f aca="false">"Addresses queried: "&amp;COUNTA(Data!A2:A87)&amp;"  |  Chains covered: 12"</f>
        <v>Addresses queried: 86  |  Chains covered: 12</v>
      </c>
    </row>
    <row r="5" customFormat="false" ht="15" hidden="false" customHeight="true" outlineLevel="0" collapsed="false">
      <c r="A5" s="4" t="str">
        <f aca="false">"Contracts with resolved bytecode: "&amp;SUM(Data!C2:C87)&amp;"  |  No bytecode (EOA/unverified): "&amp;(COUNTA(Data!A2:A87)-SUM(Data!C2:C87))</f>
        <v>Contracts with resolved bytecode: 86  |  No bytecode (EOA/unverified): 0</v>
      </c>
    </row>
    <row r="6" customFormat="false" ht="15" hidden="false" customHeight="true" outlineLevel="0" collapsed="false">
      <c r="A6" s="4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16.3% of resolved contracts (14/86)</v>
      </c>
    </row>
    <row r="7" customFormat="false" ht="15" hidden="false" customHeight="true" outlineLevel="0" collapsed="false">
      <c r="A7" s="4" t="str">
        <f aca="false">"MAIAN flag rate: "&amp;TEXT(Tool_Wise_Analysis!E4,"0.0%")</f>
        <v>MAIAN flag rate: 15.1%</v>
      </c>
    </row>
    <row r="8" customFormat="false" ht="15" hidden="false" customHeight="true" outlineLevel="0" collapsed="false">
      <c r="A8" s="4" t="str">
        <f aca="false">"Mythril flag rate: "&amp;TEXT(Tool_Wise_Analysis!E5,"0.0%")</f>
        <v>Mythril flag rate: 5.8%</v>
      </c>
    </row>
    <row r="9" customFormat="false" ht="15" hidden="false" customHeight="true" outlineLevel="0" collapsed="false">
      <c r="A9" s="4" t="str">
        <f aca="false">"Securify flag rate: "&amp;TEXT(Tool_Wise_Analysis!E6,"0.0%")</f>
        <v>Securify flag rate: 5.8%</v>
      </c>
    </row>
    <row r="10" customFormat="false" ht="15" hidden="false" customHeight="true" outlineLevel="0" collapsed="false">
      <c r="A10" s="4" t="str">
        <f aca="false">"Tool agreement (Jaccard, MAIAN vs Mythril): "&amp;TEXT(Agreement_Jaccard!B11,"0.0000")</f>
        <v>Tool agreement (Jaccard, MAIAN vs Mythril): 0.2857</v>
      </c>
    </row>
    <row r="12" customFormat="false" ht="15.75" hidden="false" customHeight="true" outlineLevel="0" collapsed="false">
      <c r="A12" s="3" t="s">
        <v>2</v>
      </c>
    </row>
    <row r="13" customFormat="false" ht="15" hidden="false" customHeight="true" outlineLevel="0" collapsed="false">
      <c r="A13" s="4" t="str">
        <f aca="false">"Highest-prevalence category: "&amp;INDEX(Per_Vulnerability_Analysis!A4:A14,MATCH(MAX(Per_Vulnerability_Analysis!C4:C14),Per_Vulnerability_Analysis!C4:C14,0))&amp;" ("&amp;TEXT(MAX(Per_Vulnerability_Analysis!E4:E14),"0.0%")&amp;" prevalence)"</f>
        <v>Highest-prevalence category: Ether Leak (15.1% prevalence)</v>
      </c>
    </row>
    <row r="14" customFormat="false" ht="15" hidden="false" customHeight="true" outlineLevel="0" collapsed="false">
      <c r="A14" s="4" t="str">
        <f aca="false">"Only MAIAN, Mythril, Securify returned detections in this run; 5 of 11 tracked categories show zero hits — see Formula_Definitions / Per_Vulnerability_Analysis."</f>
        <v>Only MAIAN, Mythril, Securify returned detections in this run; 5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8"/>
  </cols>
  <sheetData>
    <row r="1" customFormat="false" ht="15" hidden="false" customHeight="true" outlineLevel="0" collapsed="false">
      <c r="A1" s="5" t="s">
        <v>3</v>
      </c>
      <c r="B1" s="5" t="s">
        <v>4</v>
      </c>
      <c r="C1" s="5" t="s">
        <v>5</v>
      </c>
    </row>
    <row r="2" customFormat="false" ht="23.25" hidden="false" customHeight="true" outlineLevel="0" collapsed="false">
      <c r="A2" s="6" t="s">
        <v>6</v>
      </c>
      <c r="B2" s="6" t="s">
        <v>7</v>
      </c>
      <c r="C2" s="6" t="s">
        <v>8</v>
      </c>
    </row>
    <row r="3" customFormat="false" ht="23.25" hidden="false" customHeight="true" outlineLevel="0" collapsed="false">
      <c r="A3" s="6" t="s">
        <v>9</v>
      </c>
      <c r="B3" s="6" t="s">
        <v>10</v>
      </c>
      <c r="C3" s="6" t="s">
        <v>11</v>
      </c>
    </row>
    <row r="4" customFormat="false" ht="15" hidden="false" customHeight="true" outlineLevel="0" collapsed="false">
      <c r="A4" s="6" t="s">
        <v>12</v>
      </c>
      <c r="B4" s="6" t="s">
        <v>13</v>
      </c>
      <c r="C4" s="6" t="s">
        <v>14</v>
      </c>
    </row>
    <row r="5" customFormat="false" ht="15" hidden="false" customHeight="true" outlineLevel="0" collapsed="false">
      <c r="A5" s="6" t="s">
        <v>15</v>
      </c>
      <c r="B5" s="6" t="s">
        <v>16</v>
      </c>
      <c r="C5" s="6" t="s">
        <v>17</v>
      </c>
    </row>
    <row r="6" customFormat="false" ht="15" hidden="false" customHeight="true" outlineLevel="0" collapsed="false">
      <c r="A6" s="6" t="s">
        <v>18</v>
      </c>
      <c r="B6" s="6" t="s">
        <v>19</v>
      </c>
      <c r="C6" s="6" t="s">
        <v>20</v>
      </c>
    </row>
    <row r="7" customFormat="false" ht="15" hidden="false" customHeight="true" outlineLevel="0" collapsed="false">
      <c r="A7" s="6" t="s">
        <v>21</v>
      </c>
      <c r="B7" s="6" t="s">
        <v>22</v>
      </c>
      <c r="C7" s="6" t="s">
        <v>23</v>
      </c>
    </row>
    <row r="8" customFormat="false" ht="23.25" hidden="false" customHeight="true" outlineLevel="0" collapsed="false">
      <c r="A8" s="6" t="s">
        <v>24</v>
      </c>
      <c r="B8" s="6" t="s">
        <v>25</v>
      </c>
      <c r="C8" s="6" t="s">
        <v>26</v>
      </c>
    </row>
    <row r="9" customFormat="false" ht="15" hidden="false" customHeight="true" outlineLevel="0" collapsed="false">
      <c r="A9" s="6" t="s">
        <v>27</v>
      </c>
      <c r="B9" s="6" t="s">
        <v>28</v>
      </c>
      <c r="C9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30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31</v>
      </c>
      <c r="B3" s="8" t="s">
        <v>32</v>
      </c>
      <c r="C3" s="8" t="s">
        <v>6</v>
      </c>
      <c r="D3" s="8" t="s">
        <v>9</v>
      </c>
      <c r="E3" s="8" t="s">
        <v>12</v>
      </c>
      <c r="F3" s="8" t="s">
        <v>33</v>
      </c>
    </row>
    <row r="4" customFormat="false" ht="15" hidden="false" customHeight="true" outlineLevel="0" collapsed="false">
      <c r="A4" s="9" t="s">
        <v>34</v>
      </c>
      <c r="B4" s="9" t="s">
        <v>35</v>
      </c>
      <c r="C4" s="9" t="n">
        <f aca="false">COUNTIF(Data!E2:E87,"&lt;&gt;")</f>
        <v>5</v>
      </c>
      <c r="D4" s="9" t="n">
        <f aca="false">SUM(Data!C2:C87)</f>
        <v>86</v>
      </c>
      <c r="E4" s="10" t="n">
        <f aca="false">IF(D4=0,0,C4/D4)</f>
        <v>0.0581395348837209</v>
      </c>
      <c r="F4" s="11" t="s">
        <v>36</v>
      </c>
    </row>
    <row r="5" customFormat="false" ht="15" hidden="false" customHeight="true" outlineLevel="0" collapsed="false">
      <c r="A5" s="9" t="s">
        <v>37</v>
      </c>
      <c r="B5" s="9" t="s">
        <v>38</v>
      </c>
      <c r="C5" s="9" t="n">
        <f aca="false">COUNTIF(Data!F2:F87,"&lt;&gt;")</f>
        <v>0</v>
      </c>
      <c r="D5" s="9" t="n">
        <f aca="false">SUM(Data!C2:C87)</f>
        <v>86</v>
      </c>
      <c r="E5" s="10" t="n">
        <f aca="false">IF(D5=0,0,C5/D5)</f>
        <v>0</v>
      </c>
      <c r="F5" s="11" t="s">
        <v>39</v>
      </c>
    </row>
    <row r="6" customFormat="false" ht="15" hidden="false" customHeight="true" outlineLevel="0" collapsed="false">
      <c r="A6" s="9" t="s">
        <v>40</v>
      </c>
      <c r="B6" s="9" t="s">
        <v>35</v>
      </c>
      <c r="C6" s="9" t="n">
        <f aca="false">COUNTIF(Data!G2:G87,"&lt;&gt;")</f>
        <v>5</v>
      </c>
      <c r="D6" s="9" t="n">
        <f aca="false">SUM(Data!C2:C87)</f>
        <v>86</v>
      </c>
      <c r="E6" s="10" t="n">
        <f aca="false">IF(D6=0,0,C6/D6)</f>
        <v>0.0581395348837209</v>
      </c>
      <c r="F6" s="11" t="s">
        <v>36</v>
      </c>
    </row>
    <row r="7" customFormat="false" ht="15" hidden="false" customHeight="true" outlineLevel="0" collapsed="false">
      <c r="A7" s="9" t="s">
        <v>41</v>
      </c>
      <c r="B7" s="9" t="s">
        <v>38</v>
      </c>
      <c r="C7" s="9" t="n">
        <f aca="false">COUNTIF(Data!H2:H87,"&lt;&gt;")</f>
        <v>0</v>
      </c>
      <c r="D7" s="9" t="n">
        <f aca="false">SUM(Data!C2:C87)</f>
        <v>86</v>
      </c>
      <c r="E7" s="10" t="n">
        <f aca="false">IF(D7=0,0,C7/D7)</f>
        <v>0</v>
      </c>
      <c r="F7" s="11" t="s">
        <v>39</v>
      </c>
    </row>
    <row r="8" customFormat="false" ht="15" hidden="false" customHeight="true" outlineLevel="0" collapsed="false">
      <c r="A8" s="9" t="s">
        <v>42</v>
      </c>
      <c r="B8" s="9" t="s">
        <v>35</v>
      </c>
      <c r="C8" s="9" t="n">
        <f aca="false">COUNTIF(Data!I2:I87,"&lt;&gt;")</f>
        <v>5</v>
      </c>
      <c r="D8" s="9" t="n">
        <f aca="false">SUM(Data!C2:C87)</f>
        <v>86</v>
      </c>
      <c r="E8" s="10" t="n">
        <f aca="false">IF(D8=0,0,C8/D8)</f>
        <v>0.0581395348837209</v>
      </c>
      <c r="F8" s="11" t="s">
        <v>36</v>
      </c>
    </row>
    <row r="9" customFormat="false" ht="15" hidden="false" customHeight="true" outlineLevel="0" collapsed="false">
      <c r="A9" s="9" t="s">
        <v>43</v>
      </c>
      <c r="B9" s="9" t="s">
        <v>38</v>
      </c>
      <c r="C9" s="9" t="n">
        <f aca="false">COUNTIF(Data!J2:J87,"&lt;&gt;")</f>
        <v>0</v>
      </c>
      <c r="D9" s="9" t="n">
        <f aca="false">SUM(Data!C2:C87)</f>
        <v>86</v>
      </c>
      <c r="E9" s="10" t="n">
        <f aca="false">IF(D9=0,0,C9/D9)</f>
        <v>0</v>
      </c>
      <c r="F9" s="11" t="s">
        <v>39</v>
      </c>
    </row>
    <row r="10" customFormat="false" ht="15" hidden="false" customHeight="true" outlineLevel="0" collapsed="false">
      <c r="A10" s="9" t="s">
        <v>44</v>
      </c>
      <c r="B10" s="9" t="s">
        <v>35</v>
      </c>
      <c r="C10" s="9" t="n">
        <f aca="false">COUNTIF(Data!K2:K87,"&lt;&gt;")</f>
        <v>5</v>
      </c>
      <c r="D10" s="9" t="n">
        <f aca="false">SUM(Data!C2:C87)</f>
        <v>86</v>
      </c>
      <c r="E10" s="10" t="n">
        <f aca="false">IF(D10=0,0,C10/D10)</f>
        <v>0.0581395348837209</v>
      </c>
      <c r="F10" s="11" t="s">
        <v>36</v>
      </c>
    </row>
    <row r="11" customFormat="false" ht="15" hidden="false" customHeight="true" outlineLevel="0" collapsed="false">
      <c r="A11" s="9" t="s">
        <v>45</v>
      </c>
      <c r="B11" s="9" t="s">
        <v>46</v>
      </c>
      <c r="C11" s="9" t="n">
        <f aca="false">COUNTIF(Data!L2:L87,"&lt;&gt;")</f>
        <v>5</v>
      </c>
      <c r="D11" s="9" t="n">
        <f aca="false">SUM(Data!C2:C87)</f>
        <v>86</v>
      </c>
      <c r="E11" s="10" t="n">
        <f aca="false">IF(D11=0,0,C11/D11)</f>
        <v>0.0581395348837209</v>
      </c>
      <c r="F11" s="11" t="s">
        <v>36</v>
      </c>
    </row>
    <row r="12" customFormat="false" ht="15" hidden="false" customHeight="true" outlineLevel="0" collapsed="false">
      <c r="A12" s="9" t="s">
        <v>47</v>
      </c>
      <c r="B12" s="9" t="s">
        <v>38</v>
      </c>
      <c r="C12" s="9" t="n">
        <f aca="false">COUNTIF(Data!M2:M87,"&lt;&gt;")</f>
        <v>0</v>
      </c>
      <c r="D12" s="9" t="n">
        <f aca="false">SUM(Data!C2:C87)</f>
        <v>86</v>
      </c>
      <c r="E12" s="10" t="n">
        <f aca="false">IF(D12=0,0,C12/D12)</f>
        <v>0</v>
      </c>
      <c r="F12" s="11" t="s">
        <v>39</v>
      </c>
    </row>
    <row r="13" customFormat="false" ht="15" hidden="false" customHeight="true" outlineLevel="0" collapsed="false">
      <c r="A13" s="9" t="s">
        <v>48</v>
      </c>
      <c r="B13" s="9" t="s">
        <v>38</v>
      </c>
      <c r="C13" s="9" t="n">
        <f aca="false">COUNTIF(Data!N2:N87,"&lt;&gt;")</f>
        <v>0</v>
      </c>
      <c r="D13" s="9" t="n">
        <f aca="false">SUM(Data!C2:C87)</f>
        <v>86</v>
      </c>
      <c r="E13" s="10" t="n">
        <f aca="false">IF(D13=0,0,C13/D13)</f>
        <v>0</v>
      </c>
      <c r="F13" s="11" t="s">
        <v>39</v>
      </c>
    </row>
    <row r="14" customFormat="false" ht="15" hidden="false" customHeight="true" outlineLevel="0" collapsed="false">
      <c r="A14" s="9" t="s">
        <v>49</v>
      </c>
      <c r="B14" s="9" t="s">
        <v>50</v>
      </c>
      <c r="C14" s="9" t="n">
        <f aca="false">COUNTIF(Data!O2:O87,"&lt;&gt;")</f>
        <v>13</v>
      </c>
      <c r="D14" s="9" t="n">
        <f aca="false">SUM(Data!C2:C87)</f>
        <v>86</v>
      </c>
      <c r="E14" s="10" t="n">
        <f aca="false">IF(D14=0,0,C14/D14)</f>
        <v>0.151162790697674</v>
      </c>
      <c r="F14" s="11" t="s">
        <v>36</v>
      </c>
    </row>
    <row r="15" customFormat="false" ht="15" hidden="false" customHeight="true" outlineLevel="0" collapsed="false">
      <c r="A15" s="12" t="s">
        <v>51</v>
      </c>
      <c r="B15" s="12" t="s">
        <v>52</v>
      </c>
      <c r="C15" s="12" t="n">
        <f aca="false">COUNTIFS(Data!C2:C87,1,Data!P2:P87,"Yes")</f>
        <v>14</v>
      </c>
      <c r="D15" s="12" t="n">
        <f aca="false">SUM(Data!C2:C87)</f>
        <v>86</v>
      </c>
      <c r="E15" s="13" t="n">
        <f aca="false">IF(D15=0,0,C15/D15)</f>
        <v>0.162790697674419</v>
      </c>
      <c r="F15" s="14" t="s">
        <v>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54</v>
      </c>
      <c r="B1" s="7"/>
      <c r="C1" s="7"/>
      <c r="D1" s="7"/>
    </row>
    <row r="3" customFormat="false" ht="15" hidden="false" customHeight="true" outlineLevel="0" collapsed="false">
      <c r="A3" s="15" t="s">
        <v>55</v>
      </c>
      <c r="B3" s="15"/>
      <c r="C3" s="15"/>
      <c r="D3" s="15"/>
    </row>
    <row r="5" customFormat="false" ht="15" hidden="false" customHeight="true" outlineLevel="0" collapsed="false">
      <c r="A5" s="16" t="s">
        <v>18</v>
      </c>
      <c r="B5" s="16" t="s">
        <v>56</v>
      </c>
      <c r="C5" s="16" t="s">
        <v>57</v>
      </c>
      <c r="D5" s="16" t="s">
        <v>33</v>
      </c>
    </row>
    <row r="6" customFormat="false" ht="15" hidden="false" customHeight="true" outlineLevel="0" collapsed="false">
      <c r="A6" s="9" t="s">
        <v>58</v>
      </c>
      <c r="B6" s="9" t="n">
        <f aca="false">SUMPRODUCT((Data!C2:C87=1)*(((Data!E2:E87&lt;&gt;"")+(Data!G2:G87&lt;&gt;"")+(Data!I2:I87&lt;&gt;"")+(Data!K2:K87&lt;&gt;"")+(Data!L2:L87&lt;&gt;"")+(Data!O2:O87&lt;&gt;""))=0))</f>
        <v>72</v>
      </c>
      <c r="C6" s="10" t="n">
        <f aca="false">IF(SUM(Data!C2:C87)=0,0,B6/SUM(Data!C2:C87))</f>
        <v>0.837209302325581</v>
      </c>
      <c r="D6" s="17"/>
    </row>
    <row r="7" customFormat="false" ht="15" hidden="false" customHeight="true" outlineLevel="0" collapsed="false">
      <c r="A7" s="9" t="s">
        <v>59</v>
      </c>
      <c r="B7" s="9" t="n">
        <f aca="false">SUMPRODUCT((Data!C2:C87=1)*(((Data!E2:E87&lt;&gt;"")+(Data!G2:G87&lt;&gt;"")+(Data!I2:I87&lt;&gt;"")+(Data!K2:K87&lt;&gt;"")+(Data!L2:L87&lt;&gt;"")+(Data!O2:O87&lt;&gt;""))=1))</f>
        <v>9</v>
      </c>
      <c r="C7" s="10" t="n">
        <f aca="false">IF(SUM(Data!C2:C87)=0,0,B7/SUM(Data!C2:C87))</f>
        <v>0.104651162790698</v>
      </c>
      <c r="D7" s="17"/>
    </row>
    <row r="8" customFormat="false" ht="15" hidden="false" customHeight="true" outlineLevel="0" collapsed="false">
      <c r="A8" s="9" t="s">
        <v>60</v>
      </c>
      <c r="B8" s="9" t="n">
        <f aca="false">SUMPRODUCT((Data!C2:C87=1)*(((Data!E2:E87&lt;&gt;"")+(Data!G2:G87&lt;&gt;"")+(Data!I2:I87&lt;&gt;"")+(Data!K2:K87&lt;&gt;"")+(Data!L2:L87&lt;&gt;"")+(Data!O2:O87&lt;&gt;""))=2))</f>
        <v>0</v>
      </c>
      <c r="C8" s="10" t="n">
        <f aca="false">IF(SUM(Data!C2:C87)=0,0,B8/SUM(Data!C2:C87))</f>
        <v>0</v>
      </c>
      <c r="D8" s="17"/>
    </row>
    <row r="9" customFormat="false" ht="15" hidden="false" customHeight="true" outlineLevel="0" collapsed="false">
      <c r="A9" s="9" t="s">
        <v>61</v>
      </c>
      <c r="B9" s="9" t="n">
        <f aca="false">SUMPRODUCT((Data!C2:C87=1)*(((Data!E2:E87&lt;&gt;"")+(Data!G2:G87&lt;&gt;"")+(Data!I2:I87&lt;&gt;"")+(Data!K2:K87&lt;&gt;"")+(Data!L2:L87&lt;&gt;"")+(Data!O2:O87&lt;&gt;""))=3))</f>
        <v>0</v>
      </c>
      <c r="C9" s="10" t="n">
        <f aca="false">IF(SUM(Data!C2:C87)=0,0,B9/SUM(Data!C2:C87))</f>
        <v>0</v>
      </c>
      <c r="D9" s="17"/>
    </row>
    <row r="10" customFormat="false" ht="15" hidden="false" customHeight="true" outlineLevel="0" collapsed="false">
      <c r="A10" s="9" t="s">
        <v>62</v>
      </c>
      <c r="B10" s="9" t="n">
        <f aca="false">SUMPRODUCT((Data!C2:C87=1)*(((Data!E2:E87&lt;&gt;"")+(Data!G2:G87&lt;&gt;"")+(Data!I2:I87&lt;&gt;"")+(Data!K2:K87&lt;&gt;"")+(Data!L2:L87&lt;&gt;"")+(Data!O2:O87&lt;&gt;""))=4))</f>
        <v>0</v>
      </c>
      <c r="C10" s="10" t="n">
        <f aca="false">IF(SUM(Data!C2:C87)=0,0,B10/SUM(Data!C2:C87))</f>
        <v>0</v>
      </c>
      <c r="D10" s="17"/>
    </row>
    <row r="11" customFormat="false" ht="15" hidden="false" customHeight="true" outlineLevel="0" collapsed="false">
      <c r="A11" s="9" t="s">
        <v>63</v>
      </c>
      <c r="B11" s="9" t="n">
        <f aca="false">SUMPRODUCT((Data!C2:C87=1)*(((Data!E2:E87&lt;&gt;"")+(Data!G2:G87&lt;&gt;"")+(Data!I2:I87&lt;&gt;"")+(Data!K2:K87&lt;&gt;"")+(Data!L2:L87&lt;&gt;"")+(Data!O2:O87&lt;&gt;""))=5))</f>
        <v>1</v>
      </c>
      <c r="C11" s="10" t="n">
        <f aca="false">IF(SUM(Data!C2:C87)=0,0,B11/SUM(Data!C2:C87))</f>
        <v>0.0116279069767442</v>
      </c>
      <c r="D11" s="17"/>
    </row>
    <row r="12" customFormat="false" ht="15" hidden="false" customHeight="true" outlineLevel="0" collapsed="false">
      <c r="A12" s="9" t="s">
        <v>64</v>
      </c>
      <c r="B12" s="9" t="n">
        <f aca="false">SUMPRODUCT((Data!C2:C87=1)*(((Data!E2:E87&lt;&gt;"")+(Data!G2:G87&lt;&gt;"")+(Data!I2:I87&lt;&gt;"")+(Data!K2:K87&lt;&gt;"")+(Data!L2:L87&lt;&gt;"")+(Data!O2:O87&lt;&gt;""))=6))</f>
        <v>4</v>
      </c>
      <c r="C12" s="10" t="n">
        <f aca="false">IF(SUM(Data!C2:C87)=0,0,B12/SUM(Data!C2:C87))</f>
        <v>0.0465116279069767</v>
      </c>
      <c r="D12" s="17"/>
    </row>
    <row r="13" customFormat="false" ht="15" hidden="false" customHeight="true" outlineLevel="0" collapsed="false">
      <c r="A13" s="12" t="s">
        <v>65</v>
      </c>
      <c r="B13" s="12" t="n">
        <f aca="false">SUM(B6:B12)</f>
        <v>86</v>
      </c>
    </row>
    <row r="15" customFormat="false" ht="15" hidden="false" customHeight="true" outlineLevel="0" collapsed="false">
      <c r="A15" s="9" t="s">
        <v>66</v>
      </c>
      <c r="B15" s="9" t="n">
        <f aca="false">COUNTIF(Data!E2:E87,"&lt;&gt;")+COUNTIF(Data!F2:F87,"&lt;&gt;")+COUNTIF(Data!G2:G87,"&lt;&gt;")+COUNTIF(Data!H2:H87,"&lt;&gt;")+COUNTIF(Data!I2:I87,"&lt;&gt;")+COUNTIF(Data!J2:J87,"&lt;&gt;")+COUNTIF(Data!K2:K87,"&lt;&gt;")+COUNTIF(Data!L2:L87,"&lt;&gt;")+COUNTIF(Data!M2:M87,"&lt;&gt;")+COUNTIF(Data!N2:N87,"&lt;&gt;")+COUNTIF(Data!O2:O87,"&lt;&gt;")</f>
        <v>38</v>
      </c>
    </row>
    <row r="16" customFormat="false" ht="15" hidden="false" customHeight="true" outlineLevel="0" collapsed="false">
      <c r="A16" s="9" t="s">
        <v>67</v>
      </c>
      <c r="B16" s="18" t="n">
        <f aca="false">B15/SUM(Data!C2:C87)</f>
        <v>0.441860465116279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6" min="3" style="1" width="16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68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69</v>
      </c>
      <c r="B3" s="8" t="s">
        <v>70</v>
      </c>
      <c r="C3" s="8" t="s">
        <v>71</v>
      </c>
      <c r="D3" s="8" t="s">
        <v>9</v>
      </c>
      <c r="E3" s="8" t="s">
        <v>72</v>
      </c>
      <c r="F3" s="8" t="s">
        <v>33</v>
      </c>
    </row>
    <row r="4" customFormat="false" ht="15" hidden="false" customHeight="true" outlineLevel="0" collapsed="false">
      <c r="A4" s="9" t="s">
        <v>50</v>
      </c>
      <c r="B4" s="9" t="s">
        <v>49</v>
      </c>
      <c r="C4" s="9" t="n">
        <f aca="false">SUM(Data!Q2:Q87)</f>
        <v>13</v>
      </c>
      <c r="D4" s="9" t="n">
        <f aca="false">SUM(Data!C2:C87)</f>
        <v>86</v>
      </c>
      <c r="E4" s="10" t="n">
        <f aca="false">IF(D4=0,0,C4/D4)</f>
        <v>0.151162790697674</v>
      </c>
      <c r="F4" s="11" t="s">
        <v>73</v>
      </c>
    </row>
    <row r="5" customFormat="false" ht="15" hidden="false" customHeight="true" outlineLevel="0" collapsed="false">
      <c r="A5" s="9" t="s">
        <v>46</v>
      </c>
      <c r="B5" s="9" t="s">
        <v>45</v>
      </c>
      <c r="C5" s="9" t="n">
        <f aca="false">SUM(Data!R2:R87)</f>
        <v>5</v>
      </c>
      <c r="D5" s="9" t="n">
        <f aca="false">SUM(Data!C2:C87)</f>
        <v>86</v>
      </c>
      <c r="E5" s="10" t="n">
        <f aca="false">IF(D5=0,0,C5/D5)</f>
        <v>0.0581395348837209</v>
      </c>
      <c r="F5" s="11" t="s">
        <v>74</v>
      </c>
    </row>
    <row r="6" customFormat="false" ht="15" hidden="false" customHeight="true" outlineLevel="0" collapsed="false">
      <c r="A6" s="9" t="s">
        <v>35</v>
      </c>
      <c r="B6" s="9" t="s">
        <v>75</v>
      </c>
      <c r="C6" s="9" t="n">
        <f aca="false">SUM(Data!S2:S87)</f>
        <v>5</v>
      </c>
      <c r="D6" s="9" t="n">
        <f aca="false">SUM(Data!C2:C87)</f>
        <v>86</v>
      </c>
      <c r="E6" s="10" t="n">
        <f aca="false">IF(D6=0,0,C6/D6)</f>
        <v>0.0581395348837209</v>
      </c>
      <c r="F6" s="11"/>
    </row>
    <row r="7" customFormat="false" ht="15" hidden="false" customHeight="true" outlineLevel="0" collapsed="false">
      <c r="A7" s="9" t="s">
        <v>76</v>
      </c>
      <c r="B7" s="19" t="s">
        <v>77</v>
      </c>
      <c r="C7" s="9" t="n">
        <v>0</v>
      </c>
      <c r="D7" s="9" t="n">
        <f aca="false">SUM(Data!C2:C87)</f>
        <v>86</v>
      </c>
      <c r="E7" s="10" t="n">
        <v>0</v>
      </c>
      <c r="F7" s="11" t="s">
        <v>78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79</v>
      </c>
      <c r="B1" s="7"/>
      <c r="C1" s="7"/>
      <c r="D1" s="7"/>
    </row>
    <row r="3" customFormat="false" ht="15" hidden="false" customHeight="true" outlineLevel="0" collapsed="false">
      <c r="A3" s="9" t="s">
        <v>80</v>
      </c>
      <c r="B3" s="9" t="n">
        <f aca="false">COUNTA(Data!A2:A87)</f>
        <v>86</v>
      </c>
      <c r="C3" s="17"/>
      <c r="D3" s="11"/>
    </row>
    <row r="4" customFormat="false" ht="15" hidden="false" customHeight="true" outlineLevel="0" collapsed="false">
      <c r="A4" s="9" t="s">
        <v>81</v>
      </c>
      <c r="B4" s="9" t="n">
        <v>12</v>
      </c>
      <c r="C4" s="17"/>
      <c r="D4" s="11"/>
    </row>
    <row r="5" customFormat="false" ht="15" hidden="false" customHeight="true" outlineLevel="0" collapsed="false">
      <c r="A5" s="9" t="s">
        <v>82</v>
      </c>
      <c r="B5" s="9" t="n">
        <f aca="false">SUM(Data!C2:C87)</f>
        <v>86</v>
      </c>
      <c r="C5" s="17"/>
      <c r="D5" s="11"/>
    </row>
    <row r="6" customFormat="false" ht="15" hidden="false" customHeight="true" outlineLevel="0" collapsed="false">
      <c r="A6" s="9" t="s">
        <v>83</v>
      </c>
      <c r="B6" s="9" t="n">
        <f aca="false">COUNTA(Data!A2:A87)-SUM(Data!C2:C87)</f>
        <v>0</v>
      </c>
      <c r="C6" s="17"/>
      <c r="D6" s="11"/>
    </row>
    <row r="7" customFormat="false" ht="15" hidden="false" customHeight="true" outlineLevel="0" collapsed="false">
      <c r="A7" s="9" t="s">
        <v>84</v>
      </c>
      <c r="B7" s="9" t="n">
        <f aca="false">SUMPRODUCT((Data!C2:C87=1)*(Data!D2:D87=0))</f>
        <v>0</v>
      </c>
      <c r="C7" s="17"/>
      <c r="D7" s="11" t="s">
        <v>85</v>
      </c>
    </row>
    <row r="8" customFormat="false" ht="15" hidden="false" customHeight="true" outlineLevel="0" collapsed="false">
      <c r="A8" s="9" t="s">
        <v>86</v>
      </c>
      <c r="B8" s="20" t="n">
        <f aca="false">IF(SUMPRODUCT((Data!C2:C87=1)*(Data!D2:D87&gt;0))=0,0,SUMIF(Data!C2:C87,1,Data!D2:D87)/SUMPRODUCT((Data!C2:C87=1)*(Data!D2:D87&gt;0)))</f>
        <v>243.732558139535</v>
      </c>
      <c r="C8" s="17"/>
      <c r="D8" s="11" t="s">
        <v>87</v>
      </c>
    </row>
    <row r="9" customFormat="false" ht="15" hidden="false" customHeight="true" outlineLevel="0" collapsed="false">
      <c r="A9" s="9" t="s">
        <v>88</v>
      </c>
      <c r="B9" s="9" t="n">
        <f aca="false">_xlfn.MINIFS(Data!D2:D87,Data!C2:C87,1,Data!D2:D87,"&gt;0")</f>
        <v>105</v>
      </c>
      <c r="C9" s="17"/>
      <c r="D9" s="11"/>
    </row>
    <row r="10" customFormat="false" ht="15" hidden="false" customHeight="true" outlineLevel="0" collapsed="false">
      <c r="A10" s="9" t="s">
        <v>89</v>
      </c>
      <c r="B10" s="9" t="n">
        <f aca="false">_xlfn.MAXIFS(Data!D2:D87,Data!C2:C87,1)</f>
        <v>809</v>
      </c>
      <c r="C10" s="17"/>
      <c r="D10" s="11"/>
    </row>
    <row r="12" customFormat="false" ht="15" hidden="false" customHeight="true" outlineLevel="0" collapsed="false">
      <c r="A12" s="21" t="s">
        <v>90</v>
      </c>
      <c r="B12" s="21"/>
      <c r="C12" s="21"/>
      <c r="D12" s="21"/>
    </row>
    <row r="13" customFormat="false" ht="15" hidden="false" customHeight="true" outlineLevel="0" collapsed="false">
      <c r="A13" s="16" t="s">
        <v>91</v>
      </c>
      <c r="B13" s="16" t="s">
        <v>92</v>
      </c>
      <c r="C13" s="16" t="s">
        <v>93</v>
      </c>
      <c r="D13" s="16" t="s">
        <v>94</v>
      </c>
    </row>
    <row r="14" customFormat="false" ht="15" hidden="false" customHeight="true" outlineLevel="0" collapsed="false">
      <c r="A14" s="9" t="s">
        <v>95</v>
      </c>
      <c r="B14" s="9" t="n">
        <f aca="false">COUNTIF(Data!B2:B87,A14)</f>
        <v>7</v>
      </c>
      <c r="C14" s="9" t="n">
        <f aca="false">COUNTIFS(Data!B2:B87,A14,Data!C2:C87,1)</f>
        <v>7</v>
      </c>
      <c r="D14" s="10" t="n">
        <f aca="false">IF(C14=0,0,(COUNTIFS(Data!B2:B87,A14,Data!C2:C87,1,Data!P2:P87,"Yes"))/C14)</f>
        <v>0.142857142857143</v>
      </c>
    </row>
    <row r="15" customFormat="false" ht="15" hidden="false" customHeight="true" outlineLevel="0" collapsed="false">
      <c r="A15" s="9" t="s">
        <v>96</v>
      </c>
      <c r="B15" s="9" t="n">
        <f aca="false">COUNTIF(Data!B2:B87,A15)</f>
        <v>11</v>
      </c>
      <c r="C15" s="9" t="n">
        <f aca="false">COUNTIFS(Data!B2:B87,A15,Data!C2:C87,1)</f>
        <v>11</v>
      </c>
      <c r="D15" s="10" t="n">
        <f aca="false">IF(C15=0,0,(COUNTIFS(Data!B2:B87,A15,Data!C2:C87,1,Data!P2:P87,"Yes"))/C15)</f>
        <v>0</v>
      </c>
    </row>
    <row r="16" customFormat="false" ht="15" hidden="false" customHeight="true" outlineLevel="0" collapsed="false">
      <c r="A16" s="9" t="s">
        <v>97</v>
      </c>
      <c r="B16" s="9" t="n">
        <f aca="false">COUNTIF(Data!B2:B87,A16)</f>
        <v>9</v>
      </c>
      <c r="C16" s="9" t="n">
        <f aca="false">COUNTIFS(Data!B2:B87,A16,Data!C2:C87,1)</f>
        <v>9</v>
      </c>
      <c r="D16" s="10" t="n">
        <f aca="false">IF(C16=0,0,(COUNTIFS(Data!B2:B87,A16,Data!C2:C87,1,Data!P2:P87,"Yes"))/C16)</f>
        <v>0</v>
      </c>
    </row>
    <row r="17" customFormat="false" ht="15" hidden="false" customHeight="true" outlineLevel="0" collapsed="false">
      <c r="A17" s="9" t="s">
        <v>98</v>
      </c>
      <c r="B17" s="9" t="n">
        <f aca="false">COUNTIF(Data!B2:B87,A17)</f>
        <v>4</v>
      </c>
      <c r="C17" s="9" t="n">
        <f aca="false">COUNTIFS(Data!B2:B87,A17,Data!C2:C87,1)</f>
        <v>4</v>
      </c>
      <c r="D17" s="10" t="n">
        <f aca="false">IF(C17=0,0,(COUNTIFS(Data!B2:B87,A17,Data!C2:C87,1,Data!P2:P87,"Yes"))/C17)</f>
        <v>0.25</v>
      </c>
    </row>
    <row r="18" customFormat="false" ht="15" hidden="false" customHeight="true" outlineLevel="0" collapsed="false">
      <c r="A18" s="9" t="s">
        <v>99</v>
      </c>
      <c r="B18" s="9" t="n">
        <f aca="false">COUNTIF(Data!B2:B87,A18)</f>
        <v>3</v>
      </c>
      <c r="C18" s="9" t="n">
        <f aca="false">COUNTIFS(Data!B2:B87,A18,Data!C2:C87,1)</f>
        <v>3</v>
      </c>
      <c r="D18" s="10" t="n">
        <f aca="false">IF(C18=0,0,(COUNTIFS(Data!B2:B87,A18,Data!C2:C87,1,Data!P2:P87,"Yes"))/C18)</f>
        <v>0</v>
      </c>
    </row>
    <row r="19" customFormat="false" ht="15" hidden="false" customHeight="true" outlineLevel="0" collapsed="false">
      <c r="A19" s="9" t="s">
        <v>100</v>
      </c>
      <c r="B19" s="9" t="n">
        <f aca="false">COUNTIF(Data!B2:B87,A19)</f>
        <v>7</v>
      </c>
      <c r="C19" s="9" t="n">
        <f aca="false">COUNTIFS(Data!B2:B87,A19,Data!C2:C87,1)</f>
        <v>7</v>
      </c>
      <c r="D19" s="10" t="n">
        <f aca="false">IF(C19=0,0,(COUNTIFS(Data!B2:B87,A19,Data!C2:C87,1,Data!P2:P87,"Yes"))/C19)</f>
        <v>0</v>
      </c>
    </row>
    <row r="20" customFormat="false" ht="15" hidden="false" customHeight="true" outlineLevel="0" collapsed="false">
      <c r="A20" s="9" t="s">
        <v>101</v>
      </c>
      <c r="B20" s="9" t="n">
        <f aca="false">COUNTIF(Data!B2:B87,A20)</f>
        <v>4</v>
      </c>
      <c r="C20" s="9" t="n">
        <f aca="false">COUNTIFS(Data!B2:B87,A20,Data!C2:C87,1)</f>
        <v>4</v>
      </c>
      <c r="D20" s="10" t="n">
        <f aca="false">IF(C20=0,0,(COUNTIFS(Data!B2:B87,A20,Data!C2:C87,1,Data!P2:P87,"Yes"))/C20)</f>
        <v>0.25</v>
      </c>
    </row>
    <row r="21" customFormat="false" ht="15" hidden="false" customHeight="true" outlineLevel="0" collapsed="false">
      <c r="A21" s="9" t="s">
        <v>102</v>
      </c>
      <c r="B21" s="9" t="n">
        <f aca="false">COUNTIF(Data!B2:B87,A21)</f>
        <v>11</v>
      </c>
      <c r="C21" s="9" t="n">
        <f aca="false">COUNTIFS(Data!B2:B87,A21,Data!C2:C87,1)</f>
        <v>11</v>
      </c>
      <c r="D21" s="10" t="n">
        <f aca="false">IF(C21=0,0,(COUNTIFS(Data!B2:B87,A21,Data!C2:C87,1,Data!P2:P87,"Yes"))/C21)</f>
        <v>0.454545454545455</v>
      </c>
    </row>
    <row r="22" customFormat="false" ht="15" hidden="false" customHeight="true" outlineLevel="0" collapsed="false">
      <c r="A22" s="9" t="s">
        <v>103</v>
      </c>
      <c r="B22" s="9" t="n">
        <f aca="false">COUNTIF(Data!B2:B87,A22)</f>
        <v>3</v>
      </c>
      <c r="C22" s="9" t="n">
        <f aca="false">COUNTIFS(Data!B2:B87,A22,Data!C2:C87,1)</f>
        <v>3</v>
      </c>
      <c r="D22" s="10" t="n">
        <f aca="false">IF(C22=0,0,(COUNTIFS(Data!B2:B87,A22,Data!C2:C87,1,Data!P2:P87,"Yes"))/C22)</f>
        <v>0</v>
      </c>
    </row>
    <row r="23" customFormat="false" ht="15" hidden="false" customHeight="true" outlineLevel="0" collapsed="false">
      <c r="A23" s="9" t="s">
        <v>104</v>
      </c>
      <c r="B23" s="9" t="n">
        <f aca="false">COUNTIF(Data!B2:B87,A23)</f>
        <v>5</v>
      </c>
      <c r="C23" s="9" t="n">
        <f aca="false">COUNTIFS(Data!B2:B87,A23,Data!C2:C87,1)</f>
        <v>5</v>
      </c>
      <c r="D23" s="10" t="n">
        <f aca="false">IF(C23=0,0,(COUNTIFS(Data!B2:B87,A23,Data!C2:C87,1,Data!P2:P87,"Yes"))/C23)</f>
        <v>0.2</v>
      </c>
    </row>
    <row r="24" customFormat="false" ht="15" hidden="false" customHeight="true" outlineLevel="0" collapsed="false">
      <c r="A24" s="9" t="s">
        <v>105</v>
      </c>
      <c r="B24" s="9" t="n">
        <f aca="false">COUNTIF(Data!B2:B87,A24)</f>
        <v>8</v>
      </c>
      <c r="C24" s="9" t="n">
        <f aca="false">COUNTIFS(Data!B2:B87,A24,Data!C2:C87,1)</f>
        <v>8</v>
      </c>
      <c r="D24" s="10" t="n">
        <f aca="false">IF(C24=0,0,(COUNTIFS(Data!B2:B87,A24,Data!C2:C87,1,Data!P2:P87,"Yes"))/C24)</f>
        <v>0</v>
      </c>
    </row>
    <row r="25" customFormat="false" ht="15" hidden="false" customHeight="true" outlineLevel="0" collapsed="false">
      <c r="A25" s="9" t="s">
        <v>106</v>
      </c>
      <c r="B25" s="9" t="n">
        <f aca="false">COUNTIF(Data!B2:B87,A25)</f>
        <v>7</v>
      </c>
      <c r="C25" s="9" t="n">
        <f aca="false">COUNTIFS(Data!B2:B87,A25,Data!C2:C87,1)</f>
        <v>7</v>
      </c>
      <c r="D25" s="10" t="n">
        <f aca="false">IF(C25=0,0,(COUNTIFS(Data!B2:B87,A25,Data!C2:C87,1,Data!P2:P87,"Yes"))/C25)</f>
        <v>0.571428571428571</v>
      </c>
    </row>
    <row r="26" customFormat="false" ht="15" hidden="false" customHeight="true" outlineLevel="0" collapsed="false">
      <c r="A26" s="9" t="s">
        <v>107</v>
      </c>
      <c r="B26" s="9" t="n">
        <f aca="false">COUNTIF(Data!B2:B87,A26)</f>
        <v>1</v>
      </c>
      <c r="C26" s="9" t="n">
        <f aca="false">COUNTIFS(Data!B2:B87,A26,Data!C2:C87,1)</f>
        <v>1</v>
      </c>
      <c r="D26" s="10" t="n">
        <f aca="false">IF(C26=0,0,(COUNTIFS(Data!B2:B87,A26,Data!C2:C87,1,Data!P2:P87,"Yes"))/C26)</f>
        <v>1</v>
      </c>
    </row>
    <row r="27" customFormat="false" ht="15" hidden="false" customHeight="true" outlineLevel="0" collapsed="false">
      <c r="A27" s="9" t="s">
        <v>108</v>
      </c>
      <c r="B27" s="9" t="n">
        <f aca="false">COUNTIF(Data!B2:B87,A27)</f>
        <v>1</v>
      </c>
      <c r="C27" s="9" t="n">
        <f aca="false">COUNTIFS(Data!B2:B87,A27,Data!C2:C87,1)</f>
        <v>1</v>
      </c>
      <c r="D27" s="10" t="n">
        <f aca="false">IF(C27=0,0,(COUNTIFS(Data!B2:B87,A27,Data!C2:C87,1,Data!P2:P87,"Yes"))/C27)</f>
        <v>0</v>
      </c>
    </row>
    <row r="28" customFormat="false" ht="15" hidden="false" customHeight="true" outlineLevel="0" collapsed="false">
      <c r="A28" s="9" t="s">
        <v>109</v>
      </c>
      <c r="B28" s="9" t="n">
        <f aca="false">COUNTIF(Data!B2:B87,A28)</f>
        <v>2</v>
      </c>
      <c r="C28" s="9" t="n">
        <f aca="false">COUNTIFS(Data!B2:B87,A28,Data!C2:C87,1)</f>
        <v>2</v>
      </c>
      <c r="D28" s="10" t="n">
        <f aca="false">IF(C28=0,0,(COUNTIFS(Data!B2:B87,A28,Data!C2:C87,1,Data!P2:P87,"Yes"))/C28)</f>
        <v>0</v>
      </c>
    </row>
    <row r="29" customFormat="false" ht="15" hidden="false" customHeight="true" outlineLevel="0" collapsed="false">
      <c r="A29" s="9" t="s">
        <v>110</v>
      </c>
      <c r="B29" s="9" t="n">
        <f aca="false">COUNTIF(Data!B2:B87,A29)</f>
        <v>3</v>
      </c>
      <c r="C29" s="9" t="n">
        <f aca="false">COUNTIFS(Data!B2:B87,A29,Data!C2:C87,1)</f>
        <v>3</v>
      </c>
      <c r="D29" s="10" t="n">
        <f aca="false">IF(C29=0,0,(COUNTIFS(Data!B2:B87,A29,Data!C2:C87,1,Data!P2:P87,"Yes"))/C29)</f>
        <v>0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111</v>
      </c>
      <c r="B1" s="7"/>
      <c r="C1" s="7"/>
      <c r="D1" s="7"/>
    </row>
    <row r="2" customFormat="false" ht="15" hidden="false" customHeight="true" outlineLevel="0" collapsed="false">
      <c r="A2" s="15" t="s">
        <v>112</v>
      </c>
      <c r="B2" s="15"/>
      <c r="C2" s="15"/>
      <c r="D2" s="15"/>
    </row>
    <row r="4" customFormat="false" ht="15" hidden="false" customHeight="true" outlineLevel="0" collapsed="false">
      <c r="A4" s="21" t="s">
        <v>113</v>
      </c>
      <c r="B4" s="21"/>
      <c r="C4" s="21"/>
      <c r="D4" s="21"/>
    </row>
    <row r="5" customFormat="false" ht="15" hidden="false" customHeight="true" outlineLevel="0" collapsed="false">
      <c r="A5" s="16" t="s">
        <v>114</v>
      </c>
      <c r="B5" s="16" t="s">
        <v>115</v>
      </c>
      <c r="C5" s="16" t="s">
        <v>57</v>
      </c>
      <c r="D5" s="16" t="s">
        <v>116</v>
      </c>
    </row>
    <row r="6" customFormat="false" ht="15" hidden="false" customHeight="true" outlineLevel="0" collapsed="false">
      <c r="A6" s="9" t="s">
        <v>117</v>
      </c>
      <c r="B6" s="9" t="n">
        <f aca="false">SUMPRODUCT((Data!C2:C87=1)*(Data!Q2:Q87=1)*(Data!R2:R87=1))</f>
        <v>4</v>
      </c>
      <c r="C6" s="10" t="n">
        <f aca="false">IF(SUM(Data!C2:C87)=0,0,B6/SUM(Data!C2:C87))</f>
        <v>0.0465116279069767</v>
      </c>
      <c r="D6" s="11" t="s">
        <v>118</v>
      </c>
    </row>
    <row r="7" customFormat="false" ht="15" hidden="false" customHeight="true" outlineLevel="0" collapsed="false">
      <c r="A7" s="9" t="s">
        <v>119</v>
      </c>
      <c r="B7" s="9" t="n">
        <f aca="false">SUMPRODUCT((Data!C2:C87=1)*(Data!Q2:Q87=1)*(Data!R2:R87=0))</f>
        <v>9</v>
      </c>
      <c r="C7" s="10" t="n">
        <f aca="false">IF(SUM(Data!C2:C87)=0,0,B7/SUM(Data!C2:C87))</f>
        <v>0.104651162790698</v>
      </c>
      <c r="D7" s="11" t="s">
        <v>120</v>
      </c>
    </row>
    <row r="8" customFormat="false" ht="15" hidden="false" customHeight="true" outlineLevel="0" collapsed="false">
      <c r="A8" s="9" t="s">
        <v>121</v>
      </c>
      <c r="B8" s="9" t="n">
        <f aca="false">SUMPRODUCT((Data!C2:C87=1)*(Data!Q2:Q87=0)*(Data!R2:R87=1))</f>
        <v>1</v>
      </c>
      <c r="C8" s="10" t="n">
        <f aca="false">IF(SUM(Data!C2:C87)=0,0,B8/SUM(Data!C2:C87))</f>
        <v>0.0116279069767442</v>
      </c>
      <c r="D8" s="11" t="s">
        <v>122</v>
      </c>
    </row>
    <row r="9" customFormat="false" ht="15" hidden="false" customHeight="true" outlineLevel="0" collapsed="false">
      <c r="A9" s="9" t="s">
        <v>123</v>
      </c>
      <c r="B9" s="9" t="n">
        <f aca="false">SUMPRODUCT((Data!C2:C87=1)*(Data!Q2:Q87=0)*(Data!R2:R87=0))</f>
        <v>72</v>
      </c>
      <c r="C9" s="10" t="n">
        <f aca="false">IF(SUM(Data!C2:C87)=0,0,B9/SUM(Data!C2:C87))</f>
        <v>0.837209302325581</v>
      </c>
      <c r="D9" s="11" t="s">
        <v>124</v>
      </c>
    </row>
    <row r="10" customFormat="false" ht="15" hidden="false" customHeight="true" outlineLevel="0" collapsed="false">
      <c r="A10" s="22" t="s">
        <v>125</v>
      </c>
      <c r="B10" s="22" t="n">
        <f aca="false">B6+B7+B8</f>
        <v>14</v>
      </c>
    </row>
    <row r="11" customFormat="false" ht="15" hidden="false" customHeight="true" outlineLevel="0" collapsed="false">
      <c r="A11" s="12" t="s">
        <v>126</v>
      </c>
      <c r="B11" s="23" t="n">
        <f aca="false">IF(B10=0,0,B6/B10)</f>
        <v>0.285714285714286</v>
      </c>
    </row>
    <row r="13" customFormat="false" ht="15" hidden="false" customHeight="true" outlineLevel="0" collapsed="false">
      <c r="A13" s="21" t="s">
        <v>127</v>
      </c>
      <c r="B13" s="21"/>
      <c r="C13" s="21"/>
      <c r="D13" s="21"/>
    </row>
    <row r="14" customFormat="false" ht="15" hidden="false" customHeight="true" outlineLevel="0" collapsed="false">
      <c r="A14" s="16" t="s">
        <v>114</v>
      </c>
      <c r="B14" s="16" t="s">
        <v>115</v>
      </c>
      <c r="C14" s="16" t="s">
        <v>57</v>
      </c>
      <c r="D14" s="16" t="s">
        <v>116</v>
      </c>
    </row>
    <row r="15" customFormat="false" ht="15" hidden="false" customHeight="true" outlineLevel="0" collapsed="false">
      <c r="A15" s="9" t="s">
        <v>117</v>
      </c>
      <c r="B15" s="9" t="n">
        <f aca="false">SUMPRODUCT((Data!C2:C87=1)*(Data!Q2:Q87=1)*(Data!S2:S87=1))</f>
        <v>4</v>
      </c>
      <c r="C15" s="10" t="n">
        <f aca="false">IF(SUM(Data!C2:C87)=0,0,B15/SUM(Data!C2:C87))</f>
        <v>0.0465116279069767</v>
      </c>
      <c r="D15" s="11" t="s">
        <v>128</v>
      </c>
    </row>
    <row r="16" customFormat="false" ht="15" hidden="false" customHeight="true" outlineLevel="0" collapsed="false">
      <c r="A16" s="9" t="s">
        <v>119</v>
      </c>
      <c r="B16" s="9" t="n">
        <f aca="false">SUMPRODUCT((Data!C2:C87=1)*(Data!Q2:Q87=1)*(Data!S2:S87=0))</f>
        <v>9</v>
      </c>
      <c r="C16" s="10" t="n">
        <f aca="false">IF(SUM(Data!C2:C87)=0,0,B16/SUM(Data!C2:C87))</f>
        <v>0.104651162790698</v>
      </c>
      <c r="D16" s="11" t="s">
        <v>120</v>
      </c>
    </row>
    <row r="17" customFormat="false" ht="15" hidden="false" customHeight="true" outlineLevel="0" collapsed="false">
      <c r="A17" s="9" t="s">
        <v>129</v>
      </c>
      <c r="B17" s="9" t="n">
        <f aca="false">SUMPRODUCT((Data!C2:C87=1)*(Data!Q2:Q87=0)*(Data!S2:S87=1))</f>
        <v>1</v>
      </c>
      <c r="C17" s="10" t="n">
        <f aca="false">IF(SUM(Data!C2:C87)=0,0,B17/SUM(Data!C2:C87))</f>
        <v>0.0116279069767442</v>
      </c>
      <c r="D17" s="11" t="s">
        <v>130</v>
      </c>
    </row>
    <row r="18" customFormat="false" ht="15" hidden="false" customHeight="true" outlineLevel="0" collapsed="false">
      <c r="A18" s="9" t="s">
        <v>123</v>
      </c>
      <c r="B18" s="9" t="n">
        <f aca="false">SUMPRODUCT((Data!C2:C87=1)*(Data!Q2:Q87=0)*(Data!S2:S87=0))</f>
        <v>72</v>
      </c>
      <c r="C18" s="10" t="n">
        <f aca="false">IF(SUM(Data!C2:C87)=0,0,B18/SUM(Data!C2:C87))</f>
        <v>0.837209302325581</v>
      </c>
      <c r="D18" s="11" t="s">
        <v>124</v>
      </c>
    </row>
    <row r="19" customFormat="false" ht="15" hidden="false" customHeight="true" outlineLevel="0" collapsed="false">
      <c r="A19" s="22" t="s">
        <v>125</v>
      </c>
      <c r="B19" s="22" t="n">
        <f aca="false">B15+B16+B17</f>
        <v>14</v>
      </c>
    </row>
    <row r="20" customFormat="false" ht="15" hidden="false" customHeight="true" outlineLevel="0" collapsed="false">
      <c r="A20" s="12" t="s">
        <v>131</v>
      </c>
      <c r="B20" s="23" t="n">
        <f aca="false">IF(B19=0,0,B15/B19)</f>
        <v>0.285714285714286</v>
      </c>
    </row>
    <row r="22" customFormat="false" ht="15" hidden="false" customHeight="true" outlineLevel="0" collapsed="false">
      <c r="A22" s="21" t="s">
        <v>132</v>
      </c>
      <c r="B22" s="21"/>
      <c r="C22" s="21"/>
      <c r="D22" s="21"/>
    </row>
    <row r="23" customFormat="false" ht="15" hidden="false" customHeight="true" outlineLevel="0" collapsed="false">
      <c r="A23" s="16" t="s">
        <v>114</v>
      </c>
      <c r="B23" s="16" t="s">
        <v>115</v>
      </c>
      <c r="C23" s="16" t="s">
        <v>57</v>
      </c>
      <c r="D23" s="16" t="s">
        <v>116</v>
      </c>
    </row>
    <row r="24" customFormat="false" ht="15" hidden="false" customHeight="true" outlineLevel="0" collapsed="false">
      <c r="A24" s="9" t="s">
        <v>117</v>
      </c>
      <c r="B24" s="9" t="n">
        <f aca="false">SUMPRODUCT((Data!C2:C87=1)*(Data!R2:R87=1)*(Data!S2:S87=1))</f>
        <v>5</v>
      </c>
      <c r="C24" s="10" t="n">
        <f aca="false">IF(SUM(Data!C2:C87)=0,0,B24/SUM(Data!C2:C87))</f>
        <v>0.0581395348837209</v>
      </c>
      <c r="D24" s="11" t="s">
        <v>133</v>
      </c>
    </row>
    <row r="25" customFormat="false" ht="15" hidden="false" customHeight="true" outlineLevel="0" collapsed="false">
      <c r="A25" s="9" t="s">
        <v>134</v>
      </c>
      <c r="B25" s="9" t="n">
        <f aca="false">SUMPRODUCT((Data!C2:C87=1)*(Data!R2:R87=1)*(Data!S2:S87=0))</f>
        <v>0</v>
      </c>
      <c r="C25" s="10" t="n">
        <f aca="false">IF(SUM(Data!C2:C87)=0,0,B25/SUM(Data!C2:C87))</f>
        <v>0</v>
      </c>
      <c r="D25" s="11" t="s">
        <v>122</v>
      </c>
    </row>
    <row r="26" customFormat="false" ht="15" hidden="false" customHeight="true" outlineLevel="0" collapsed="false">
      <c r="A26" s="9" t="s">
        <v>129</v>
      </c>
      <c r="B26" s="9" t="n">
        <f aca="false">SUMPRODUCT((Data!C2:C87=1)*(Data!R2:R87=0)*(Data!S2:S87=1))</f>
        <v>0</v>
      </c>
      <c r="C26" s="10" t="n">
        <f aca="false">IF(SUM(Data!C2:C87)=0,0,B26/SUM(Data!C2:C87))</f>
        <v>0</v>
      </c>
      <c r="D26" s="11" t="s">
        <v>130</v>
      </c>
    </row>
    <row r="27" customFormat="false" ht="15" hidden="false" customHeight="true" outlineLevel="0" collapsed="false">
      <c r="A27" s="9" t="s">
        <v>123</v>
      </c>
      <c r="B27" s="9" t="n">
        <f aca="false">SUMPRODUCT((Data!C2:C87=1)*(Data!R2:R87=0)*(Data!S2:S87=0))</f>
        <v>81</v>
      </c>
      <c r="C27" s="10" t="n">
        <f aca="false">IF(SUM(Data!C2:C87)=0,0,B27/SUM(Data!C2:C87))</f>
        <v>0.941860465116279</v>
      </c>
      <c r="D27" s="11" t="s">
        <v>124</v>
      </c>
    </row>
    <row r="28" customFormat="false" ht="15" hidden="false" customHeight="true" outlineLevel="0" collapsed="false">
      <c r="A28" s="22" t="s">
        <v>125</v>
      </c>
      <c r="B28" s="22" t="n">
        <f aca="false">B24+B25+B26</f>
        <v>5</v>
      </c>
    </row>
    <row r="29" customFormat="false" ht="15" hidden="false" customHeight="true" outlineLevel="0" collapsed="false">
      <c r="A29" s="12" t="s">
        <v>135</v>
      </c>
      <c r="B29" s="23" t="n">
        <f aca="false">IF(B28=0,0,B24/B28)</f>
        <v>1</v>
      </c>
    </row>
  </sheetData>
  <mergeCells count="5">
    <mergeCell ref="A1:D1"/>
    <mergeCell ref="A2:D2"/>
    <mergeCell ref="A4:D4"/>
    <mergeCell ref="A13:D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7.25" hidden="false" customHeight="true" outlineLevel="0" collapsed="false">
      <c r="A1" s="2" t="s">
        <v>136</v>
      </c>
    </row>
    <row r="3" customFormat="false" ht="30" hidden="false" customHeight="true" outlineLevel="0" collapsed="false">
      <c r="A3" s="4" t="str">
        <f aca="false">"1. Bytecode resolution: "&amp;SUM(Data!C2:C87)&amp;" of "&amp;COUNTA(Data!A2:A87)&amp;" queried addresses ("&amp;TEXT(SUM(Data!C2:C87)/COUNTA(Data!A2:A87),"0.0%")&amp;") resolved to deployed bytecode; the rest are EOAs, unverified, or not found on-chain."</f>
        <v>1. Bytecode resolution: 86 of 86 queried addresses (100.0%) resolved to deployed bytecode; the rest are EOAs, unverified, or not found on-chain.</v>
      </c>
    </row>
    <row r="4" customFormat="false" ht="30" hidden="false" customHeight="true" outlineLevel="0" collapsed="false">
      <c r="A4" s="4" t="str">
        <f aca="false">"2. Detection coverage: only MAIAN, Mythril, Securify produced any detections. Integer, Delegatecall, Timestamp, Selfdestruct, Locked Ether all show zero hits in this bytecode run."</f>
        <v>2. Detection coverage: only MAIAN, Mythril, Securify produced any detections. Integer, Delegatecall, Timestamp, Selfdestruct, Locked Ether all show zero hits in this bytecode run.</v>
      </c>
    </row>
    <row r="5" customFormat="false" ht="30" hidden="false" customHeight="true" outlineLevel="0" collapsed="false">
      <c r="A5" s="4" t="str">
        <f aca="false">"3. Mythril flag rate ("&amp;TEXT(Tool_Wise_Analysis!E5,"0.0%")&amp;") vs MAIAN flag rate ("&amp;TEXT(Tool_Wise_Analysis!E4,"0.0%")&amp;") among resolved contracts."</f>
        <v>3. Mythril flag rate (5.8%) vs MAIAN flag rate (15.1%) among resolved contracts.</v>
      </c>
    </row>
    <row r="6" customFormat="false" ht="30" hidden="false" customHeight="true" outlineLevel="0" collapsed="false">
      <c r="A6" s="4" t="str">
        <f aca="false">"4. Tool overlap: Jaccard(MAIAN, Mythril) = "&amp;TEXT(Agreement_Jaccard!B11,"0.0000")&amp;" — "&amp;Agreement_Jaccard!B6&amp;" contracts triggered both tools, "&amp;Agreement_Jaccard!B7&amp;" only MAIAN, "&amp;Agreement_Jaccard!B8&amp;" only Mythril."</f>
        <v>4. Tool overlap: Jaccard(MAIAN, Mythril) = 0.2857 — 4 contracts triggered both tools, 9 only MAIAN, 1 only Mythril.</v>
      </c>
    </row>
    <row r="7" customFormat="false" ht="30" hidden="false" customHeight="true" outlineLevel="0" collapsed="false">
      <c r="A7" s="4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14 of 86 resolved contracts (16.3%)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.75" hidden="false" customHeight="true" outlineLevel="0" collapsed="false">
      <c r="A1" s="24" t="s">
        <v>137</v>
      </c>
    </row>
    <row r="2" customFormat="false" ht="21.75" hidden="false" customHeight="true" outlineLevel="0" collapsed="false">
      <c r="A2" s="25" t="s">
        <v>138</v>
      </c>
    </row>
    <row r="4" customFormat="false" ht="15.75" hidden="false" customHeight="true" outlineLevel="0" collapsed="false">
      <c r="A4" s="26" t="s">
        <v>139</v>
      </c>
    </row>
    <row r="5" customFormat="false" ht="31.5" hidden="false" customHeight="true" outlineLevel="0" collapsed="false">
      <c r="A5" s="27" t="s">
        <v>140</v>
      </c>
    </row>
    <row r="7" customFormat="false" ht="15.75" hidden="false" customHeight="true" outlineLevel="0" collapsed="false">
      <c r="A7" s="26" t="s">
        <v>141</v>
      </c>
    </row>
    <row r="8" customFormat="false" ht="43.5" hidden="false" customHeight="true" outlineLevel="0" collapsed="false">
      <c r="A8" s="27" t="s">
        <v>142</v>
      </c>
    </row>
    <row r="10" customFormat="false" ht="15.75" hidden="false" customHeight="true" outlineLevel="0" collapsed="false">
      <c r="A10" s="26" t="s">
        <v>143</v>
      </c>
    </row>
    <row r="11" customFormat="false" ht="48" hidden="false" customHeight="true" outlineLevel="0" collapsed="false">
      <c r="A11" s="27" t="s">
        <v>144</v>
      </c>
    </row>
    <row r="12" customFormat="false" ht="15.75" hidden="false" customHeight="true" outlineLevel="0" collapsed="false">
      <c r="A12" s="27" t="s">
        <v>145</v>
      </c>
    </row>
    <row r="14" customFormat="false" ht="15.75" hidden="false" customHeight="true" outlineLevel="0" collapsed="false">
      <c r="A14" s="28" t="s">
        <v>146</v>
      </c>
    </row>
    <row r="15" customFormat="false" ht="43.5" hidden="false" customHeight="true" outlineLevel="0" collapsed="false">
      <c r="A15" s="27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15" min="5" style="1" width="12"/>
    <col collapsed="false" customWidth="true" hidden="false" outlineLevel="0" max="16" min="16" style="1" width="11"/>
    <col collapsed="false" customWidth="true" hidden="false" outlineLevel="0" max="19" min="17" style="1" width="13"/>
  </cols>
  <sheetData>
    <row r="1" customFormat="false" ht="15" hidden="false" customHeight="true" outlineLevel="0" collapsed="false">
      <c r="A1" s="16" t="s">
        <v>148</v>
      </c>
      <c r="B1" s="16" t="s">
        <v>91</v>
      </c>
      <c r="C1" s="16" t="s">
        <v>149</v>
      </c>
      <c r="D1" s="16" t="s">
        <v>150</v>
      </c>
      <c r="E1" s="16" t="s">
        <v>34</v>
      </c>
      <c r="F1" s="16" t="s">
        <v>37</v>
      </c>
      <c r="G1" s="16" t="s">
        <v>151</v>
      </c>
      <c r="H1" s="16" t="s">
        <v>41</v>
      </c>
      <c r="I1" s="16" t="s">
        <v>152</v>
      </c>
      <c r="J1" s="16" t="s">
        <v>43</v>
      </c>
      <c r="K1" s="16" t="s">
        <v>44</v>
      </c>
      <c r="L1" s="16" t="s">
        <v>45</v>
      </c>
      <c r="M1" s="16" t="s">
        <v>47</v>
      </c>
      <c r="N1" s="16" t="s">
        <v>153</v>
      </c>
      <c r="O1" s="16" t="s">
        <v>154</v>
      </c>
      <c r="P1" s="16" t="s">
        <v>155</v>
      </c>
      <c r="Q1" s="16" t="s">
        <v>156</v>
      </c>
      <c r="R1" s="16" t="s">
        <v>157</v>
      </c>
      <c r="S1" s="16" t="s">
        <v>158</v>
      </c>
    </row>
    <row r="2" customFormat="false" ht="15" hidden="false" customHeight="true" outlineLevel="0" collapsed="false">
      <c r="A2" s="9" t="s">
        <v>159</v>
      </c>
      <c r="B2" s="9" t="s">
        <v>95</v>
      </c>
      <c r="C2" s="9" t="n">
        <v>1</v>
      </c>
      <c r="D2" s="9" t="n">
        <v>159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 t="s">
        <v>160</v>
      </c>
      <c r="Q2" s="9" t="n">
        <v>0</v>
      </c>
      <c r="R2" s="9" t="n">
        <v>0</v>
      </c>
      <c r="S2" s="9" t="n">
        <v>0</v>
      </c>
    </row>
    <row r="3" customFormat="false" ht="15" hidden="false" customHeight="true" outlineLevel="0" collapsed="false">
      <c r="A3" s="9" t="s">
        <v>161</v>
      </c>
      <c r="B3" s="9" t="s">
        <v>95</v>
      </c>
      <c r="C3" s="9" t="n">
        <v>1</v>
      </c>
      <c r="D3" s="9" t="n">
        <v>157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 t="s">
        <v>160</v>
      </c>
      <c r="Q3" s="9" t="n">
        <v>0</v>
      </c>
      <c r="R3" s="9" t="n">
        <v>0</v>
      </c>
      <c r="S3" s="9" t="n">
        <v>0</v>
      </c>
    </row>
    <row r="4" customFormat="false" ht="15" hidden="false" customHeight="true" outlineLevel="0" collapsed="false">
      <c r="A4" s="9" t="s">
        <v>162</v>
      </c>
      <c r="B4" s="9" t="s">
        <v>95</v>
      </c>
      <c r="C4" s="9" t="n">
        <v>1</v>
      </c>
      <c r="D4" s="9" t="n">
        <v>761</v>
      </c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50</v>
      </c>
      <c r="P4" s="9" t="s">
        <v>163</v>
      </c>
      <c r="Q4" s="9" t="n">
        <v>1</v>
      </c>
      <c r="R4" s="9" t="n">
        <v>0</v>
      </c>
      <c r="S4" s="9" t="n">
        <v>0</v>
      </c>
    </row>
    <row r="5" customFormat="false" ht="15" hidden="false" customHeight="true" outlineLevel="0" collapsed="false">
      <c r="A5" s="9" t="s">
        <v>164</v>
      </c>
      <c r="B5" s="9" t="s">
        <v>95</v>
      </c>
      <c r="C5" s="9" t="n">
        <v>1</v>
      </c>
      <c r="D5" s="9" t="n">
        <v>115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 t="s">
        <v>160</v>
      </c>
      <c r="Q5" s="9" t="n">
        <v>0</v>
      </c>
      <c r="R5" s="9" t="n">
        <v>0</v>
      </c>
      <c r="S5" s="9" t="n">
        <v>0</v>
      </c>
    </row>
    <row r="6" customFormat="false" ht="15" hidden="false" customHeight="true" outlineLevel="0" collapsed="false">
      <c r="A6" s="9" t="s">
        <v>165</v>
      </c>
      <c r="B6" s="9" t="s">
        <v>95</v>
      </c>
      <c r="C6" s="9" t="n">
        <v>1</v>
      </c>
      <c r="D6" s="9" t="n">
        <v>625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 t="s">
        <v>160</v>
      </c>
      <c r="Q6" s="9" t="n">
        <v>0</v>
      </c>
      <c r="R6" s="9" t="n">
        <v>0</v>
      </c>
      <c r="S6" s="9" t="n">
        <v>0</v>
      </c>
    </row>
    <row r="7" customFormat="false" ht="15" hidden="false" customHeight="true" outlineLevel="0" collapsed="false">
      <c r="A7" s="9" t="s">
        <v>166</v>
      </c>
      <c r="B7" s="9" t="s">
        <v>95</v>
      </c>
      <c r="C7" s="9" t="n">
        <v>1</v>
      </c>
      <c r="D7" s="9" t="n">
        <v>159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 t="s">
        <v>160</v>
      </c>
      <c r="Q7" s="9" t="n">
        <v>0</v>
      </c>
      <c r="R7" s="9" t="n">
        <v>0</v>
      </c>
      <c r="S7" s="9" t="n">
        <v>0</v>
      </c>
    </row>
    <row r="8" customFormat="false" ht="15" hidden="false" customHeight="true" outlineLevel="0" collapsed="false">
      <c r="A8" s="9" t="s">
        <v>167</v>
      </c>
      <c r="B8" s="9" t="s">
        <v>95</v>
      </c>
      <c r="C8" s="9" t="n">
        <v>1</v>
      </c>
      <c r="D8" s="9" t="n">
        <v>159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 t="s">
        <v>160</v>
      </c>
      <c r="Q8" s="9" t="n">
        <v>0</v>
      </c>
      <c r="R8" s="9" t="n">
        <v>0</v>
      </c>
      <c r="S8" s="9" t="n">
        <v>0</v>
      </c>
    </row>
    <row r="9" customFormat="false" ht="15" hidden="false" customHeight="true" outlineLevel="0" collapsed="false">
      <c r="A9" s="9" t="s">
        <v>168</v>
      </c>
      <c r="B9" s="9" t="s">
        <v>96</v>
      </c>
      <c r="C9" s="9" t="n">
        <v>1</v>
      </c>
      <c r="D9" s="9" t="n">
        <v>105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 t="s">
        <v>160</v>
      </c>
      <c r="Q9" s="9" t="n">
        <v>0</v>
      </c>
      <c r="R9" s="9" t="n">
        <v>0</v>
      </c>
      <c r="S9" s="9" t="n">
        <v>0</v>
      </c>
    </row>
    <row r="10" customFormat="false" ht="15" hidden="false" customHeight="true" outlineLevel="0" collapsed="false">
      <c r="A10" s="9" t="s">
        <v>169</v>
      </c>
      <c r="B10" s="9" t="s">
        <v>96</v>
      </c>
      <c r="C10" s="9" t="n">
        <v>1</v>
      </c>
      <c r="D10" s="9" t="n">
        <v>105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 t="s">
        <v>160</v>
      </c>
      <c r="Q10" s="9" t="n">
        <v>0</v>
      </c>
      <c r="R10" s="9" t="n">
        <v>0</v>
      </c>
      <c r="S10" s="9" t="n">
        <v>0</v>
      </c>
    </row>
    <row r="11" customFormat="false" ht="15" hidden="false" customHeight="true" outlineLevel="0" collapsed="false">
      <c r="A11" s="9" t="s">
        <v>170</v>
      </c>
      <c r="B11" s="9" t="s">
        <v>96</v>
      </c>
      <c r="C11" s="9" t="n">
        <v>1</v>
      </c>
      <c r="D11" s="9" t="n">
        <v>105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 t="s">
        <v>160</v>
      </c>
      <c r="Q11" s="9" t="n">
        <v>0</v>
      </c>
      <c r="R11" s="9" t="n">
        <v>0</v>
      </c>
      <c r="S11" s="9" t="n">
        <v>0</v>
      </c>
    </row>
    <row r="12" customFormat="false" ht="15" hidden="false" customHeight="true" outlineLevel="0" collapsed="false">
      <c r="A12" s="9" t="s">
        <v>171</v>
      </c>
      <c r="B12" s="9" t="s">
        <v>96</v>
      </c>
      <c r="C12" s="9" t="n">
        <v>1</v>
      </c>
      <c r="D12" s="9" t="n">
        <v>105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 t="s">
        <v>160</v>
      </c>
      <c r="Q12" s="9" t="n">
        <v>0</v>
      </c>
      <c r="R12" s="9" t="n">
        <v>0</v>
      </c>
      <c r="S12" s="9" t="n">
        <v>0</v>
      </c>
    </row>
    <row r="13" customFormat="false" ht="15" hidden="false" customHeight="true" outlineLevel="0" collapsed="false">
      <c r="A13" s="9" t="s">
        <v>172</v>
      </c>
      <c r="B13" s="9" t="s">
        <v>96</v>
      </c>
      <c r="C13" s="9" t="n">
        <v>1</v>
      </c>
      <c r="D13" s="9" t="n">
        <v>105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 t="s">
        <v>160</v>
      </c>
      <c r="Q13" s="9" t="n">
        <v>0</v>
      </c>
      <c r="R13" s="9" t="n">
        <v>0</v>
      </c>
      <c r="S13" s="9" t="n">
        <v>0</v>
      </c>
    </row>
    <row r="14" customFormat="false" ht="15" hidden="false" customHeight="true" outlineLevel="0" collapsed="false">
      <c r="A14" s="9" t="s">
        <v>173</v>
      </c>
      <c r="B14" s="9" t="s">
        <v>96</v>
      </c>
      <c r="C14" s="9" t="n">
        <v>1</v>
      </c>
      <c r="D14" s="9" t="n">
        <v>105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 t="s">
        <v>160</v>
      </c>
      <c r="Q14" s="9" t="n">
        <v>0</v>
      </c>
      <c r="R14" s="9" t="n">
        <v>0</v>
      </c>
      <c r="S14" s="9" t="n">
        <v>0</v>
      </c>
    </row>
    <row r="15" customFormat="false" ht="15" hidden="false" customHeight="true" outlineLevel="0" collapsed="false">
      <c r="A15" s="9" t="s">
        <v>174</v>
      </c>
      <c r="B15" s="9" t="s">
        <v>96</v>
      </c>
      <c r="C15" s="9" t="n">
        <v>1</v>
      </c>
      <c r="D15" s="9" t="n">
        <v>105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 t="s">
        <v>160</v>
      </c>
      <c r="Q15" s="9" t="n">
        <v>0</v>
      </c>
      <c r="R15" s="9" t="n">
        <v>0</v>
      </c>
      <c r="S15" s="9" t="n">
        <v>0</v>
      </c>
    </row>
    <row r="16" customFormat="false" ht="15" hidden="false" customHeight="true" outlineLevel="0" collapsed="false">
      <c r="A16" s="9" t="s">
        <v>175</v>
      </c>
      <c r="B16" s="9" t="s">
        <v>96</v>
      </c>
      <c r="C16" s="9" t="n">
        <v>1</v>
      </c>
      <c r="D16" s="9" t="n">
        <v>105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 t="s">
        <v>160</v>
      </c>
      <c r="Q16" s="9" t="n">
        <v>0</v>
      </c>
      <c r="R16" s="9" t="n">
        <v>0</v>
      </c>
      <c r="S16" s="9" t="n">
        <v>0</v>
      </c>
    </row>
    <row r="17" customFormat="false" ht="15" hidden="false" customHeight="true" outlineLevel="0" collapsed="false">
      <c r="A17" s="9" t="s">
        <v>176</v>
      </c>
      <c r="B17" s="9" t="s">
        <v>96</v>
      </c>
      <c r="C17" s="9" t="n">
        <v>1</v>
      </c>
      <c r="D17" s="9" t="n">
        <v>105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 t="s">
        <v>160</v>
      </c>
      <c r="Q17" s="9" t="n">
        <v>0</v>
      </c>
      <c r="R17" s="9" t="n">
        <v>0</v>
      </c>
      <c r="S17" s="9" t="n">
        <v>0</v>
      </c>
    </row>
    <row r="18" customFormat="false" ht="15" hidden="false" customHeight="true" outlineLevel="0" collapsed="false">
      <c r="A18" s="9" t="s">
        <v>177</v>
      </c>
      <c r="B18" s="9" t="s">
        <v>96</v>
      </c>
      <c r="C18" s="9" t="n">
        <v>1</v>
      </c>
      <c r="D18" s="9" t="n">
        <v>105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 t="s">
        <v>160</v>
      </c>
      <c r="Q18" s="9" t="n">
        <v>0</v>
      </c>
      <c r="R18" s="9" t="n">
        <v>0</v>
      </c>
      <c r="S18" s="9" t="n">
        <v>0</v>
      </c>
    </row>
    <row r="19" customFormat="false" ht="15" hidden="false" customHeight="true" outlineLevel="0" collapsed="false">
      <c r="A19" s="9" t="s">
        <v>178</v>
      </c>
      <c r="B19" s="9" t="s">
        <v>96</v>
      </c>
      <c r="C19" s="9" t="n">
        <v>1</v>
      </c>
      <c r="D19" s="9" t="n">
        <v>105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 t="s">
        <v>160</v>
      </c>
      <c r="Q19" s="9" t="n">
        <v>0</v>
      </c>
      <c r="R19" s="9" t="n">
        <v>0</v>
      </c>
      <c r="S19" s="9" t="n">
        <v>0</v>
      </c>
    </row>
    <row r="20" customFormat="false" ht="15" hidden="false" customHeight="true" outlineLevel="0" collapsed="false">
      <c r="A20" s="9" t="s">
        <v>179</v>
      </c>
      <c r="B20" s="9" t="s">
        <v>97</v>
      </c>
      <c r="C20" s="9" t="n">
        <v>1</v>
      </c>
      <c r="D20" s="9" t="n">
        <v>105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 t="s">
        <v>160</v>
      </c>
      <c r="Q20" s="9" t="n">
        <v>0</v>
      </c>
      <c r="R20" s="9" t="n">
        <v>0</v>
      </c>
      <c r="S20" s="9" t="n">
        <v>0</v>
      </c>
    </row>
    <row r="21" customFormat="false" ht="15" hidden="false" customHeight="true" outlineLevel="0" collapsed="false">
      <c r="A21" s="9" t="s">
        <v>180</v>
      </c>
      <c r="B21" s="9" t="s">
        <v>97</v>
      </c>
      <c r="C21" s="9" t="n">
        <v>1</v>
      </c>
      <c r="D21" s="9" t="n">
        <v>105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 t="s">
        <v>160</v>
      </c>
      <c r="Q21" s="9" t="n">
        <v>0</v>
      </c>
      <c r="R21" s="9" t="n">
        <v>0</v>
      </c>
      <c r="S21" s="9" t="n">
        <v>0</v>
      </c>
    </row>
    <row r="22" customFormat="false" ht="15" hidden="false" customHeight="true" outlineLevel="0" collapsed="false">
      <c r="A22" s="9" t="s">
        <v>181</v>
      </c>
      <c r="B22" s="9" t="s">
        <v>97</v>
      </c>
      <c r="C22" s="9" t="n">
        <v>1</v>
      </c>
      <c r="D22" s="9" t="n">
        <v>105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 t="s">
        <v>160</v>
      </c>
      <c r="Q22" s="9" t="n">
        <v>0</v>
      </c>
      <c r="R22" s="9" t="n">
        <v>0</v>
      </c>
      <c r="S22" s="9" t="n">
        <v>0</v>
      </c>
    </row>
    <row r="23" customFormat="false" ht="15" hidden="false" customHeight="true" outlineLevel="0" collapsed="false">
      <c r="A23" s="9" t="s">
        <v>182</v>
      </c>
      <c r="B23" s="9" t="s">
        <v>97</v>
      </c>
      <c r="C23" s="9" t="n">
        <v>1</v>
      </c>
      <c r="D23" s="9" t="n">
        <v>105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 t="s">
        <v>160</v>
      </c>
      <c r="Q23" s="9" t="n">
        <v>0</v>
      </c>
      <c r="R23" s="9" t="n">
        <v>0</v>
      </c>
      <c r="S23" s="9" t="n">
        <v>0</v>
      </c>
    </row>
    <row r="24" customFormat="false" ht="15" hidden="false" customHeight="true" outlineLevel="0" collapsed="false">
      <c r="A24" s="9" t="s">
        <v>183</v>
      </c>
      <c r="B24" s="9" t="s">
        <v>97</v>
      </c>
      <c r="C24" s="9" t="n">
        <v>1</v>
      </c>
      <c r="D24" s="9" t="n">
        <v>105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 t="s">
        <v>160</v>
      </c>
      <c r="Q24" s="9" t="n">
        <v>0</v>
      </c>
      <c r="R24" s="9" t="n">
        <v>0</v>
      </c>
      <c r="S24" s="9" t="n">
        <v>0</v>
      </c>
    </row>
    <row r="25" customFormat="false" ht="15" hidden="false" customHeight="true" outlineLevel="0" collapsed="false">
      <c r="A25" s="9" t="s">
        <v>184</v>
      </c>
      <c r="B25" s="9" t="s">
        <v>97</v>
      </c>
      <c r="C25" s="9" t="n">
        <v>1</v>
      </c>
      <c r="D25" s="9" t="n">
        <v>105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 t="s">
        <v>160</v>
      </c>
      <c r="Q25" s="9" t="n">
        <v>0</v>
      </c>
      <c r="R25" s="9" t="n">
        <v>0</v>
      </c>
      <c r="S25" s="9" t="n">
        <v>0</v>
      </c>
    </row>
    <row r="26" customFormat="false" ht="15" hidden="false" customHeight="true" outlineLevel="0" collapsed="false">
      <c r="A26" s="9" t="s">
        <v>185</v>
      </c>
      <c r="B26" s="9" t="s">
        <v>97</v>
      </c>
      <c r="C26" s="9" t="n">
        <v>1</v>
      </c>
      <c r="D26" s="9" t="n">
        <v>105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 t="s">
        <v>160</v>
      </c>
      <c r="Q26" s="9" t="n">
        <v>0</v>
      </c>
      <c r="R26" s="9" t="n">
        <v>0</v>
      </c>
      <c r="S26" s="9" t="n">
        <v>0</v>
      </c>
    </row>
    <row r="27" customFormat="false" ht="15" hidden="false" customHeight="true" outlineLevel="0" collapsed="false">
      <c r="A27" s="9" t="s">
        <v>186</v>
      </c>
      <c r="B27" s="9" t="s">
        <v>97</v>
      </c>
      <c r="C27" s="9" t="n">
        <v>1</v>
      </c>
      <c r="D27" s="9" t="n">
        <v>105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 t="s">
        <v>160</v>
      </c>
      <c r="Q27" s="9" t="n">
        <v>0</v>
      </c>
      <c r="R27" s="9" t="n">
        <v>0</v>
      </c>
      <c r="S27" s="9" t="n">
        <v>0</v>
      </c>
    </row>
    <row r="28" customFormat="false" ht="15" hidden="false" customHeight="true" outlineLevel="0" collapsed="false">
      <c r="A28" s="9" t="s">
        <v>187</v>
      </c>
      <c r="B28" s="9" t="s">
        <v>97</v>
      </c>
      <c r="C28" s="9" t="n">
        <v>1</v>
      </c>
      <c r="D28" s="9" t="n">
        <v>105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 t="s">
        <v>160</v>
      </c>
      <c r="Q28" s="9" t="n">
        <v>0</v>
      </c>
      <c r="R28" s="9" t="n">
        <v>0</v>
      </c>
      <c r="S28" s="9" t="n">
        <v>0</v>
      </c>
    </row>
    <row r="29" customFormat="false" ht="15" hidden="false" customHeight="true" outlineLevel="0" collapsed="false">
      <c r="A29" s="9" t="s">
        <v>188</v>
      </c>
      <c r="B29" s="9" t="s">
        <v>98</v>
      </c>
      <c r="C29" s="9" t="n">
        <v>1</v>
      </c>
      <c r="D29" s="9" t="n">
        <v>624</v>
      </c>
      <c r="E29" s="9" t="s">
        <v>35</v>
      </c>
      <c r="F29" s="9"/>
      <c r="G29" s="9" t="s">
        <v>35</v>
      </c>
      <c r="H29" s="9"/>
      <c r="I29" s="9" t="s">
        <v>35</v>
      </c>
      <c r="J29" s="9"/>
      <c r="K29" s="9" t="s">
        <v>35</v>
      </c>
      <c r="L29" s="9" t="s">
        <v>46</v>
      </c>
      <c r="M29" s="9"/>
      <c r="N29" s="9"/>
      <c r="O29" s="9" t="s">
        <v>50</v>
      </c>
      <c r="P29" s="9" t="s">
        <v>163</v>
      </c>
      <c r="Q29" s="9" t="n">
        <v>1</v>
      </c>
      <c r="R29" s="9" t="n">
        <v>1</v>
      </c>
      <c r="S29" s="9" t="n">
        <v>1</v>
      </c>
    </row>
    <row r="30" customFormat="false" ht="15" hidden="false" customHeight="true" outlineLevel="0" collapsed="false">
      <c r="A30" s="9" t="s">
        <v>189</v>
      </c>
      <c r="B30" s="9" t="s">
        <v>98</v>
      </c>
      <c r="C30" s="9" t="n">
        <v>1</v>
      </c>
      <c r="D30" s="9" t="n">
        <v>159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 t="s">
        <v>160</v>
      </c>
      <c r="Q30" s="9" t="n">
        <v>0</v>
      </c>
      <c r="R30" s="9" t="n">
        <v>0</v>
      </c>
      <c r="S30" s="9" t="n">
        <v>0</v>
      </c>
    </row>
    <row r="31" customFormat="false" ht="15" hidden="false" customHeight="true" outlineLevel="0" collapsed="false">
      <c r="A31" s="9" t="s">
        <v>190</v>
      </c>
      <c r="B31" s="9" t="s">
        <v>98</v>
      </c>
      <c r="C31" s="9" t="n">
        <v>1</v>
      </c>
      <c r="D31" s="9" t="n">
        <v>809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 t="s">
        <v>160</v>
      </c>
      <c r="Q31" s="9" t="n">
        <v>0</v>
      </c>
      <c r="R31" s="9" t="n">
        <v>0</v>
      </c>
      <c r="S31" s="9" t="n">
        <v>0</v>
      </c>
    </row>
    <row r="32" customFormat="false" ht="15" hidden="false" customHeight="true" outlineLevel="0" collapsed="false">
      <c r="A32" s="9" t="s">
        <v>191</v>
      </c>
      <c r="B32" s="9" t="s">
        <v>98</v>
      </c>
      <c r="C32" s="9" t="n">
        <v>1</v>
      </c>
      <c r="D32" s="9" t="n">
        <v>159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 t="s">
        <v>160</v>
      </c>
      <c r="Q32" s="9" t="n">
        <v>0</v>
      </c>
      <c r="R32" s="9" t="n">
        <v>0</v>
      </c>
      <c r="S32" s="9" t="n">
        <v>0</v>
      </c>
    </row>
    <row r="33" customFormat="false" ht="15" hidden="false" customHeight="true" outlineLevel="0" collapsed="false">
      <c r="A33" s="9" t="s">
        <v>192</v>
      </c>
      <c r="B33" s="9" t="s">
        <v>99</v>
      </c>
      <c r="C33" s="9" t="n">
        <v>1</v>
      </c>
      <c r="D33" s="9" t="n">
        <v>159</v>
      </c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 t="s">
        <v>160</v>
      </c>
      <c r="Q33" s="9" t="n">
        <v>0</v>
      </c>
      <c r="R33" s="9" t="n">
        <v>0</v>
      </c>
      <c r="S33" s="9" t="n">
        <v>0</v>
      </c>
    </row>
    <row r="34" customFormat="false" ht="15" hidden="false" customHeight="true" outlineLevel="0" collapsed="false">
      <c r="A34" s="9" t="s">
        <v>193</v>
      </c>
      <c r="B34" s="9" t="s">
        <v>99</v>
      </c>
      <c r="C34" s="9" t="n">
        <v>1</v>
      </c>
      <c r="D34" s="9" t="n">
        <v>219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 t="s">
        <v>160</v>
      </c>
      <c r="Q34" s="9" t="n">
        <v>0</v>
      </c>
      <c r="R34" s="9" t="n">
        <v>0</v>
      </c>
      <c r="S34" s="9" t="n">
        <v>0</v>
      </c>
    </row>
    <row r="35" customFormat="false" ht="15" hidden="false" customHeight="true" outlineLevel="0" collapsed="false">
      <c r="A35" s="9" t="s">
        <v>194</v>
      </c>
      <c r="B35" s="9" t="s">
        <v>99</v>
      </c>
      <c r="C35" s="9" t="n">
        <v>1</v>
      </c>
      <c r="D35" s="9" t="n">
        <v>159</v>
      </c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 t="s">
        <v>160</v>
      </c>
      <c r="Q35" s="9" t="n">
        <v>0</v>
      </c>
      <c r="R35" s="9" t="n">
        <v>0</v>
      </c>
      <c r="S35" s="9" t="n">
        <v>0</v>
      </c>
    </row>
    <row r="36" customFormat="false" ht="15" hidden="false" customHeight="true" outlineLevel="0" collapsed="false">
      <c r="A36" s="9" t="s">
        <v>195</v>
      </c>
      <c r="B36" s="9" t="s">
        <v>100</v>
      </c>
      <c r="C36" s="9" t="n">
        <v>1</v>
      </c>
      <c r="D36" s="9" t="n">
        <v>105</v>
      </c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 t="s">
        <v>160</v>
      </c>
      <c r="Q36" s="9" t="n">
        <v>0</v>
      </c>
      <c r="R36" s="9" t="n">
        <v>0</v>
      </c>
      <c r="S36" s="9" t="n">
        <v>0</v>
      </c>
    </row>
    <row r="37" customFormat="false" ht="15" hidden="false" customHeight="true" outlineLevel="0" collapsed="false">
      <c r="A37" s="9" t="s">
        <v>196</v>
      </c>
      <c r="B37" s="9" t="s">
        <v>100</v>
      </c>
      <c r="C37" s="9" t="n">
        <v>1</v>
      </c>
      <c r="D37" s="9" t="n">
        <v>105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160</v>
      </c>
      <c r="Q37" s="9" t="n">
        <v>0</v>
      </c>
      <c r="R37" s="9" t="n">
        <v>0</v>
      </c>
      <c r="S37" s="9" t="n">
        <v>0</v>
      </c>
    </row>
    <row r="38" customFormat="false" ht="15" hidden="false" customHeight="true" outlineLevel="0" collapsed="false">
      <c r="A38" s="9" t="s">
        <v>197</v>
      </c>
      <c r="B38" s="9" t="s">
        <v>100</v>
      </c>
      <c r="C38" s="9" t="n">
        <v>1</v>
      </c>
      <c r="D38" s="9" t="n">
        <v>105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 t="s">
        <v>160</v>
      </c>
      <c r="Q38" s="9" t="n">
        <v>0</v>
      </c>
      <c r="R38" s="9" t="n">
        <v>0</v>
      </c>
      <c r="S38" s="9" t="n">
        <v>0</v>
      </c>
    </row>
    <row r="39" customFormat="false" ht="15" hidden="false" customHeight="true" outlineLevel="0" collapsed="false">
      <c r="A39" s="9" t="s">
        <v>198</v>
      </c>
      <c r="B39" s="9" t="s">
        <v>100</v>
      </c>
      <c r="C39" s="9" t="n">
        <v>1</v>
      </c>
      <c r="D39" s="9" t="n">
        <v>105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160</v>
      </c>
      <c r="Q39" s="9" t="n">
        <v>0</v>
      </c>
      <c r="R39" s="9" t="n">
        <v>0</v>
      </c>
      <c r="S39" s="9" t="n">
        <v>0</v>
      </c>
    </row>
    <row r="40" customFormat="false" ht="15" hidden="false" customHeight="true" outlineLevel="0" collapsed="false">
      <c r="A40" s="9" t="s">
        <v>199</v>
      </c>
      <c r="B40" s="9" t="s">
        <v>100</v>
      </c>
      <c r="C40" s="9" t="n">
        <v>1</v>
      </c>
      <c r="D40" s="9" t="n">
        <v>105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 t="s">
        <v>160</v>
      </c>
      <c r="Q40" s="9" t="n">
        <v>0</v>
      </c>
      <c r="R40" s="9" t="n">
        <v>0</v>
      </c>
      <c r="S40" s="9" t="n">
        <v>0</v>
      </c>
    </row>
    <row r="41" customFormat="false" ht="15" hidden="false" customHeight="true" outlineLevel="0" collapsed="false">
      <c r="A41" s="9" t="s">
        <v>200</v>
      </c>
      <c r="B41" s="9" t="s">
        <v>100</v>
      </c>
      <c r="C41" s="9" t="n">
        <v>1</v>
      </c>
      <c r="D41" s="9" t="n">
        <v>105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 t="s">
        <v>160</v>
      </c>
      <c r="Q41" s="9" t="n">
        <v>0</v>
      </c>
      <c r="R41" s="9" t="n">
        <v>0</v>
      </c>
      <c r="S41" s="9" t="n">
        <v>0</v>
      </c>
    </row>
    <row r="42" customFormat="false" ht="15" hidden="false" customHeight="true" outlineLevel="0" collapsed="false">
      <c r="A42" s="9" t="s">
        <v>201</v>
      </c>
      <c r="B42" s="9" t="s">
        <v>100</v>
      </c>
      <c r="C42" s="9" t="n">
        <v>1</v>
      </c>
      <c r="D42" s="9" t="n">
        <v>105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 t="s">
        <v>160</v>
      </c>
      <c r="Q42" s="9" t="n">
        <v>0</v>
      </c>
      <c r="R42" s="9" t="n">
        <v>0</v>
      </c>
      <c r="S42" s="9" t="n">
        <v>0</v>
      </c>
    </row>
    <row r="43" customFormat="false" ht="15" hidden="false" customHeight="true" outlineLevel="0" collapsed="false">
      <c r="A43" s="9" t="s">
        <v>202</v>
      </c>
      <c r="B43" s="9" t="s">
        <v>101</v>
      </c>
      <c r="C43" s="9" t="n">
        <v>1</v>
      </c>
      <c r="D43" s="9" t="n">
        <v>159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 t="s">
        <v>160</v>
      </c>
      <c r="Q43" s="9" t="n">
        <v>0</v>
      </c>
      <c r="R43" s="9" t="n">
        <v>0</v>
      </c>
      <c r="S43" s="9" t="n">
        <v>0</v>
      </c>
    </row>
    <row r="44" customFormat="false" ht="15" hidden="false" customHeight="true" outlineLevel="0" collapsed="false">
      <c r="A44" s="9" t="s">
        <v>203</v>
      </c>
      <c r="B44" s="9" t="s">
        <v>101</v>
      </c>
      <c r="C44" s="9" t="n">
        <v>1</v>
      </c>
      <c r="D44" s="9" t="n">
        <v>159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 t="s">
        <v>160</v>
      </c>
      <c r="Q44" s="9" t="n">
        <v>0</v>
      </c>
      <c r="R44" s="9" t="n">
        <v>0</v>
      </c>
      <c r="S44" s="9" t="n">
        <v>0</v>
      </c>
    </row>
    <row r="45" customFormat="false" ht="15" hidden="false" customHeight="true" outlineLevel="0" collapsed="false">
      <c r="A45" s="9" t="s">
        <v>204</v>
      </c>
      <c r="B45" s="9" t="s">
        <v>101</v>
      </c>
      <c r="C45" s="9" t="n">
        <v>1</v>
      </c>
      <c r="D45" s="9" t="n">
        <v>159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 t="s">
        <v>160</v>
      </c>
      <c r="Q45" s="9" t="n">
        <v>0</v>
      </c>
      <c r="R45" s="9" t="n">
        <v>0</v>
      </c>
      <c r="S45" s="9" t="n">
        <v>0</v>
      </c>
    </row>
    <row r="46" customFormat="false" ht="15" hidden="false" customHeight="true" outlineLevel="0" collapsed="false">
      <c r="A46" s="9" t="s">
        <v>205</v>
      </c>
      <c r="B46" s="9" t="s">
        <v>101</v>
      </c>
      <c r="C46" s="9" t="n">
        <v>1</v>
      </c>
      <c r="D46" s="9" t="n">
        <v>625</v>
      </c>
      <c r="E46" s="9"/>
      <c r="F46" s="9"/>
      <c r="G46" s="9"/>
      <c r="H46" s="9"/>
      <c r="I46" s="9"/>
      <c r="J46" s="9"/>
      <c r="K46" s="9"/>
      <c r="L46" s="9"/>
      <c r="M46" s="9"/>
      <c r="N46" s="9"/>
      <c r="O46" s="9" t="s">
        <v>50</v>
      </c>
      <c r="P46" s="9" t="s">
        <v>163</v>
      </c>
      <c r="Q46" s="9" t="n">
        <v>1</v>
      </c>
      <c r="R46" s="9" t="n">
        <v>0</v>
      </c>
      <c r="S46" s="9" t="n">
        <v>0</v>
      </c>
    </row>
    <row r="47" customFormat="false" ht="15" hidden="false" customHeight="true" outlineLevel="0" collapsed="false">
      <c r="A47" s="9" t="s">
        <v>206</v>
      </c>
      <c r="B47" s="9" t="s">
        <v>102</v>
      </c>
      <c r="C47" s="9" t="n">
        <v>1</v>
      </c>
      <c r="D47" s="9" t="n">
        <v>364</v>
      </c>
      <c r="E47" s="9" t="s">
        <v>35</v>
      </c>
      <c r="F47" s="9"/>
      <c r="G47" s="9" t="s">
        <v>35</v>
      </c>
      <c r="H47" s="9"/>
      <c r="I47" s="9" t="s">
        <v>35</v>
      </c>
      <c r="J47" s="9"/>
      <c r="K47" s="9" t="s">
        <v>35</v>
      </c>
      <c r="L47" s="9" t="s">
        <v>46</v>
      </c>
      <c r="M47" s="9"/>
      <c r="N47" s="9"/>
      <c r="O47" s="9"/>
      <c r="P47" s="9" t="s">
        <v>163</v>
      </c>
      <c r="Q47" s="9" t="n">
        <v>0</v>
      </c>
      <c r="R47" s="9" t="n">
        <v>1</v>
      </c>
      <c r="S47" s="9" t="n">
        <v>1</v>
      </c>
    </row>
    <row r="48" customFormat="false" ht="15" hidden="false" customHeight="true" outlineLevel="0" collapsed="false">
      <c r="A48" s="9" t="s">
        <v>207</v>
      </c>
      <c r="B48" s="9" t="s">
        <v>102</v>
      </c>
      <c r="C48" s="9" t="n">
        <v>1</v>
      </c>
      <c r="D48" s="9" t="n">
        <v>115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 t="s">
        <v>160</v>
      </c>
      <c r="Q48" s="9" t="n">
        <v>0</v>
      </c>
      <c r="R48" s="9" t="n">
        <v>0</v>
      </c>
      <c r="S48" s="9" t="n">
        <v>0</v>
      </c>
    </row>
    <row r="49" customFormat="false" ht="15" hidden="false" customHeight="true" outlineLevel="0" collapsed="false">
      <c r="A49" s="9" t="s">
        <v>208</v>
      </c>
      <c r="B49" s="9" t="s">
        <v>102</v>
      </c>
      <c r="C49" s="9" t="n">
        <v>1</v>
      </c>
      <c r="D49" s="9" t="n">
        <v>159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 t="s">
        <v>160</v>
      </c>
      <c r="Q49" s="9" t="n">
        <v>0</v>
      </c>
      <c r="R49" s="9" t="n">
        <v>0</v>
      </c>
      <c r="S49" s="9" t="n">
        <v>0</v>
      </c>
    </row>
    <row r="50" customFormat="false" ht="15" hidden="false" customHeight="true" outlineLevel="0" collapsed="false">
      <c r="A50" s="9" t="s">
        <v>209</v>
      </c>
      <c r="B50" s="9" t="s">
        <v>102</v>
      </c>
      <c r="C50" s="9" t="n">
        <v>1</v>
      </c>
      <c r="D50" s="9" t="n">
        <v>159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 t="s">
        <v>160</v>
      </c>
      <c r="Q50" s="9" t="n">
        <v>0</v>
      </c>
      <c r="R50" s="9" t="n">
        <v>0</v>
      </c>
      <c r="S50" s="9" t="n">
        <v>0</v>
      </c>
    </row>
    <row r="51" customFormat="false" ht="15" hidden="false" customHeight="true" outlineLevel="0" collapsed="false">
      <c r="A51" s="9" t="s">
        <v>210</v>
      </c>
      <c r="B51" s="9" t="s">
        <v>102</v>
      </c>
      <c r="C51" s="9" t="n">
        <v>1</v>
      </c>
      <c r="D51" s="9" t="n">
        <v>137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 t="s">
        <v>160</v>
      </c>
      <c r="Q51" s="9" t="n">
        <v>0</v>
      </c>
      <c r="R51" s="9" t="n">
        <v>0</v>
      </c>
      <c r="S51" s="9" t="n">
        <v>0</v>
      </c>
    </row>
    <row r="52" customFormat="false" ht="15" hidden="false" customHeight="true" outlineLevel="0" collapsed="false">
      <c r="A52" s="9" t="s">
        <v>211</v>
      </c>
      <c r="B52" s="9" t="s">
        <v>102</v>
      </c>
      <c r="C52" s="9" t="n">
        <v>1</v>
      </c>
      <c r="D52" s="9" t="n">
        <v>625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 t="s">
        <v>50</v>
      </c>
      <c r="P52" s="9" t="s">
        <v>163</v>
      </c>
      <c r="Q52" s="9" t="n">
        <v>1</v>
      </c>
      <c r="R52" s="9" t="n">
        <v>0</v>
      </c>
      <c r="S52" s="9" t="n">
        <v>0</v>
      </c>
    </row>
    <row r="53" customFormat="false" ht="15" hidden="false" customHeight="true" outlineLevel="0" collapsed="false">
      <c r="A53" s="9" t="s">
        <v>212</v>
      </c>
      <c r="B53" s="9" t="s">
        <v>102</v>
      </c>
      <c r="C53" s="9" t="n">
        <v>1</v>
      </c>
      <c r="D53" s="9" t="n">
        <v>159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 t="s">
        <v>160</v>
      </c>
      <c r="Q53" s="9" t="n">
        <v>0</v>
      </c>
      <c r="R53" s="9" t="n">
        <v>0</v>
      </c>
      <c r="S53" s="9" t="n">
        <v>0</v>
      </c>
    </row>
    <row r="54" customFormat="false" ht="15" hidden="false" customHeight="true" outlineLevel="0" collapsed="false">
      <c r="A54" s="9" t="s">
        <v>213</v>
      </c>
      <c r="B54" s="9" t="s">
        <v>102</v>
      </c>
      <c r="C54" s="9" t="n">
        <v>1</v>
      </c>
      <c r="D54" s="9" t="n">
        <v>452</v>
      </c>
      <c r="E54" s="9" t="s">
        <v>35</v>
      </c>
      <c r="F54" s="9"/>
      <c r="G54" s="9" t="s">
        <v>35</v>
      </c>
      <c r="H54" s="9"/>
      <c r="I54" s="9" t="s">
        <v>35</v>
      </c>
      <c r="J54" s="9"/>
      <c r="K54" s="9" t="s">
        <v>35</v>
      </c>
      <c r="L54" s="9" t="s">
        <v>46</v>
      </c>
      <c r="M54" s="9"/>
      <c r="N54" s="9"/>
      <c r="O54" s="9" t="s">
        <v>50</v>
      </c>
      <c r="P54" s="9" t="s">
        <v>163</v>
      </c>
      <c r="Q54" s="9" t="n">
        <v>1</v>
      </c>
      <c r="R54" s="9" t="n">
        <v>1</v>
      </c>
      <c r="S54" s="9" t="n">
        <v>1</v>
      </c>
    </row>
    <row r="55" customFormat="false" ht="15" hidden="false" customHeight="true" outlineLevel="0" collapsed="false">
      <c r="A55" s="9" t="s">
        <v>214</v>
      </c>
      <c r="B55" s="9" t="s">
        <v>102</v>
      </c>
      <c r="C55" s="9" t="n">
        <v>1</v>
      </c>
      <c r="D55" s="9" t="n">
        <v>157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 t="s">
        <v>160</v>
      </c>
      <c r="Q55" s="9" t="n">
        <v>0</v>
      </c>
      <c r="R55" s="9" t="n">
        <v>0</v>
      </c>
      <c r="S55" s="9" t="n">
        <v>0</v>
      </c>
    </row>
    <row r="56" customFormat="false" ht="15" hidden="false" customHeight="true" outlineLevel="0" collapsed="false">
      <c r="A56" s="9" t="s">
        <v>215</v>
      </c>
      <c r="B56" s="9" t="s">
        <v>102</v>
      </c>
      <c r="C56" s="9" t="n">
        <v>1</v>
      </c>
      <c r="D56" s="9" t="n">
        <v>488</v>
      </c>
      <c r="E56" s="9" t="s">
        <v>35</v>
      </c>
      <c r="F56" s="9"/>
      <c r="G56" s="9" t="s">
        <v>35</v>
      </c>
      <c r="H56" s="9"/>
      <c r="I56" s="9" t="s">
        <v>35</v>
      </c>
      <c r="J56" s="9"/>
      <c r="K56" s="9" t="s">
        <v>35</v>
      </c>
      <c r="L56" s="9" t="s">
        <v>46</v>
      </c>
      <c r="M56" s="9"/>
      <c r="N56" s="9"/>
      <c r="O56" s="9" t="s">
        <v>50</v>
      </c>
      <c r="P56" s="9" t="s">
        <v>163</v>
      </c>
      <c r="Q56" s="9" t="n">
        <v>1</v>
      </c>
      <c r="R56" s="9" t="n">
        <v>1</v>
      </c>
      <c r="S56" s="9" t="n">
        <v>1</v>
      </c>
    </row>
    <row r="57" customFormat="false" ht="15" hidden="false" customHeight="true" outlineLevel="0" collapsed="false">
      <c r="A57" s="9" t="s">
        <v>216</v>
      </c>
      <c r="B57" s="9" t="s">
        <v>102</v>
      </c>
      <c r="C57" s="9" t="n">
        <v>1</v>
      </c>
      <c r="D57" s="9" t="n">
        <v>761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 t="s">
        <v>50</v>
      </c>
      <c r="P57" s="9" t="s">
        <v>163</v>
      </c>
      <c r="Q57" s="9" t="n">
        <v>1</v>
      </c>
      <c r="R57" s="9" t="n">
        <v>0</v>
      </c>
      <c r="S57" s="9" t="n">
        <v>0</v>
      </c>
    </row>
    <row r="58" customFormat="false" ht="15" hidden="false" customHeight="true" outlineLevel="0" collapsed="false">
      <c r="A58" s="9" t="s">
        <v>217</v>
      </c>
      <c r="B58" s="9" t="s">
        <v>103</v>
      </c>
      <c r="C58" s="9" t="n">
        <v>1</v>
      </c>
      <c r="D58" s="9" t="n">
        <v>159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 t="s">
        <v>160</v>
      </c>
      <c r="Q58" s="9" t="n">
        <v>0</v>
      </c>
      <c r="R58" s="9" t="n">
        <v>0</v>
      </c>
      <c r="S58" s="9" t="n">
        <v>0</v>
      </c>
    </row>
    <row r="59" customFormat="false" ht="15" hidden="false" customHeight="true" outlineLevel="0" collapsed="false">
      <c r="A59" s="9" t="s">
        <v>218</v>
      </c>
      <c r="B59" s="9" t="s">
        <v>103</v>
      </c>
      <c r="C59" s="9" t="n">
        <v>1</v>
      </c>
      <c r="D59" s="9" t="n">
        <v>467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 t="s">
        <v>160</v>
      </c>
      <c r="Q59" s="9" t="n">
        <v>0</v>
      </c>
      <c r="R59" s="9" t="n">
        <v>0</v>
      </c>
      <c r="S59" s="9" t="n">
        <v>0</v>
      </c>
    </row>
    <row r="60" customFormat="false" ht="15" hidden="false" customHeight="true" outlineLevel="0" collapsed="false">
      <c r="A60" s="9" t="s">
        <v>219</v>
      </c>
      <c r="B60" s="9" t="s">
        <v>103</v>
      </c>
      <c r="C60" s="9" t="n">
        <v>1</v>
      </c>
      <c r="D60" s="9" t="n">
        <v>159</v>
      </c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 t="s">
        <v>160</v>
      </c>
      <c r="Q60" s="9" t="n">
        <v>0</v>
      </c>
      <c r="R60" s="9" t="n">
        <v>0</v>
      </c>
      <c r="S60" s="9" t="n">
        <v>0</v>
      </c>
    </row>
    <row r="61" customFormat="false" ht="15" hidden="false" customHeight="true" outlineLevel="0" collapsed="false">
      <c r="A61" s="9" t="s">
        <v>220</v>
      </c>
      <c r="B61" s="9" t="s">
        <v>104</v>
      </c>
      <c r="C61" s="9" t="n">
        <v>1</v>
      </c>
      <c r="D61" s="9" t="n">
        <v>159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 t="s">
        <v>160</v>
      </c>
      <c r="Q61" s="9" t="n">
        <v>0</v>
      </c>
      <c r="R61" s="9" t="n">
        <v>0</v>
      </c>
      <c r="S61" s="9" t="n">
        <v>0</v>
      </c>
    </row>
    <row r="62" customFormat="false" ht="15" hidden="false" customHeight="true" outlineLevel="0" collapsed="false">
      <c r="A62" s="9" t="s">
        <v>221</v>
      </c>
      <c r="B62" s="9" t="s">
        <v>104</v>
      </c>
      <c r="C62" s="9" t="n">
        <v>1</v>
      </c>
      <c r="D62" s="9" t="n">
        <v>625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 t="s">
        <v>160</v>
      </c>
      <c r="Q62" s="9" t="n">
        <v>0</v>
      </c>
      <c r="R62" s="9" t="n">
        <v>0</v>
      </c>
      <c r="S62" s="9" t="n">
        <v>0</v>
      </c>
    </row>
    <row r="63" customFormat="false" ht="15" hidden="false" customHeight="true" outlineLevel="0" collapsed="false">
      <c r="A63" s="9" t="s">
        <v>222</v>
      </c>
      <c r="B63" s="9" t="s">
        <v>104</v>
      </c>
      <c r="C63" s="9" t="n">
        <v>1</v>
      </c>
      <c r="D63" s="9" t="n">
        <v>488</v>
      </c>
      <c r="E63" s="9" t="s">
        <v>35</v>
      </c>
      <c r="F63" s="9"/>
      <c r="G63" s="9" t="s">
        <v>35</v>
      </c>
      <c r="H63" s="9"/>
      <c r="I63" s="9" t="s">
        <v>35</v>
      </c>
      <c r="J63" s="9"/>
      <c r="K63" s="9" t="s">
        <v>35</v>
      </c>
      <c r="L63" s="9" t="s">
        <v>46</v>
      </c>
      <c r="M63" s="9"/>
      <c r="N63" s="9"/>
      <c r="O63" s="9" t="s">
        <v>50</v>
      </c>
      <c r="P63" s="9" t="s">
        <v>163</v>
      </c>
      <c r="Q63" s="9" t="n">
        <v>1</v>
      </c>
      <c r="R63" s="9" t="n">
        <v>1</v>
      </c>
      <c r="S63" s="9" t="n">
        <v>1</v>
      </c>
    </row>
    <row r="64" customFormat="false" ht="15" hidden="false" customHeight="true" outlineLevel="0" collapsed="false">
      <c r="A64" s="9" t="s">
        <v>223</v>
      </c>
      <c r="B64" s="9" t="s">
        <v>104</v>
      </c>
      <c r="C64" s="9" t="n">
        <v>1</v>
      </c>
      <c r="D64" s="9" t="n">
        <v>159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 t="s">
        <v>160</v>
      </c>
      <c r="Q64" s="9" t="n">
        <v>0</v>
      </c>
      <c r="R64" s="9" t="n">
        <v>0</v>
      </c>
      <c r="S64" s="9" t="n">
        <v>0</v>
      </c>
    </row>
    <row r="65" customFormat="false" ht="15" hidden="false" customHeight="true" outlineLevel="0" collapsed="false">
      <c r="A65" s="9" t="s">
        <v>224</v>
      </c>
      <c r="B65" s="9" t="s">
        <v>104</v>
      </c>
      <c r="C65" s="9" t="n">
        <v>1</v>
      </c>
      <c r="D65" s="9" t="n">
        <v>159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 t="s">
        <v>160</v>
      </c>
      <c r="Q65" s="9" t="n">
        <v>0</v>
      </c>
      <c r="R65" s="9" t="n">
        <v>0</v>
      </c>
      <c r="S65" s="9" t="n">
        <v>0</v>
      </c>
    </row>
    <row r="66" customFormat="false" ht="15" hidden="false" customHeight="true" outlineLevel="0" collapsed="false">
      <c r="A66" s="9" t="s">
        <v>225</v>
      </c>
      <c r="B66" s="9" t="s">
        <v>105</v>
      </c>
      <c r="C66" s="9" t="n">
        <v>1</v>
      </c>
      <c r="D66" s="9" t="n">
        <v>105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 t="s">
        <v>160</v>
      </c>
      <c r="Q66" s="9" t="n">
        <v>0</v>
      </c>
      <c r="R66" s="9" t="n">
        <v>0</v>
      </c>
      <c r="S66" s="9" t="n">
        <v>0</v>
      </c>
    </row>
    <row r="67" customFormat="false" ht="15" hidden="false" customHeight="true" outlineLevel="0" collapsed="false">
      <c r="A67" s="9" t="s">
        <v>226</v>
      </c>
      <c r="B67" s="9" t="s">
        <v>105</v>
      </c>
      <c r="C67" s="9" t="n">
        <v>1</v>
      </c>
      <c r="D67" s="9" t="n">
        <v>105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 t="s">
        <v>160</v>
      </c>
      <c r="Q67" s="9" t="n">
        <v>0</v>
      </c>
      <c r="R67" s="9" t="n">
        <v>0</v>
      </c>
      <c r="S67" s="9" t="n">
        <v>0</v>
      </c>
    </row>
    <row r="68" customFormat="false" ht="15" hidden="false" customHeight="true" outlineLevel="0" collapsed="false">
      <c r="A68" s="9" t="s">
        <v>227</v>
      </c>
      <c r="B68" s="9" t="s">
        <v>105</v>
      </c>
      <c r="C68" s="9" t="n">
        <v>1</v>
      </c>
      <c r="D68" s="9" t="n">
        <v>105</v>
      </c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 t="s">
        <v>160</v>
      </c>
      <c r="Q68" s="9" t="n">
        <v>0</v>
      </c>
      <c r="R68" s="9" t="n">
        <v>0</v>
      </c>
      <c r="S68" s="9" t="n">
        <v>0</v>
      </c>
    </row>
    <row r="69" customFormat="false" ht="15" hidden="false" customHeight="true" outlineLevel="0" collapsed="false">
      <c r="A69" s="9" t="s">
        <v>228</v>
      </c>
      <c r="B69" s="9" t="s">
        <v>105</v>
      </c>
      <c r="C69" s="9" t="n">
        <v>1</v>
      </c>
      <c r="D69" s="9" t="n">
        <v>105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 t="s">
        <v>160</v>
      </c>
      <c r="Q69" s="9" t="n">
        <v>0</v>
      </c>
      <c r="R69" s="9" t="n">
        <v>0</v>
      </c>
      <c r="S69" s="9" t="n">
        <v>0</v>
      </c>
    </row>
    <row r="70" customFormat="false" ht="15" hidden="false" customHeight="true" outlineLevel="0" collapsed="false">
      <c r="A70" s="9" t="s">
        <v>229</v>
      </c>
      <c r="B70" s="9" t="s">
        <v>105</v>
      </c>
      <c r="C70" s="9" t="n">
        <v>1</v>
      </c>
      <c r="D70" s="9" t="n">
        <v>105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 t="s">
        <v>160</v>
      </c>
      <c r="Q70" s="9" t="n">
        <v>0</v>
      </c>
      <c r="R70" s="9" t="n">
        <v>0</v>
      </c>
      <c r="S70" s="9" t="n">
        <v>0</v>
      </c>
    </row>
    <row r="71" customFormat="false" ht="15" hidden="false" customHeight="true" outlineLevel="0" collapsed="false">
      <c r="A71" s="9" t="s">
        <v>230</v>
      </c>
      <c r="B71" s="9" t="s">
        <v>105</v>
      </c>
      <c r="C71" s="9" t="n">
        <v>1</v>
      </c>
      <c r="D71" s="9" t="n">
        <v>105</v>
      </c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 t="s">
        <v>160</v>
      </c>
      <c r="Q71" s="9" t="n">
        <v>0</v>
      </c>
      <c r="R71" s="9" t="n">
        <v>0</v>
      </c>
      <c r="S71" s="9" t="n">
        <v>0</v>
      </c>
    </row>
    <row r="72" customFormat="false" ht="15" hidden="false" customHeight="true" outlineLevel="0" collapsed="false">
      <c r="A72" s="9" t="s">
        <v>231</v>
      </c>
      <c r="B72" s="9" t="s">
        <v>105</v>
      </c>
      <c r="C72" s="9" t="n">
        <v>1</v>
      </c>
      <c r="D72" s="9" t="n">
        <v>105</v>
      </c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 t="s">
        <v>160</v>
      </c>
      <c r="Q72" s="9" t="n">
        <v>0</v>
      </c>
      <c r="R72" s="9" t="n">
        <v>0</v>
      </c>
      <c r="S72" s="9" t="n">
        <v>0</v>
      </c>
    </row>
    <row r="73" customFormat="false" ht="15" hidden="false" customHeight="true" outlineLevel="0" collapsed="false">
      <c r="A73" s="9" t="s">
        <v>232</v>
      </c>
      <c r="B73" s="9" t="s">
        <v>105</v>
      </c>
      <c r="C73" s="9" t="n">
        <v>1</v>
      </c>
      <c r="D73" s="9" t="n">
        <v>105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 t="s">
        <v>160</v>
      </c>
      <c r="Q73" s="9" t="n">
        <v>0</v>
      </c>
      <c r="R73" s="9" t="n">
        <v>0</v>
      </c>
      <c r="S73" s="9" t="n">
        <v>0</v>
      </c>
    </row>
    <row r="74" customFormat="false" ht="15" hidden="false" customHeight="true" outlineLevel="0" collapsed="false">
      <c r="A74" s="9" t="s">
        <v>233</v>
      </c>
      <c r="B74" s="9" t="s">
        <v>106</v>
      </c>
      <c r="C74" s="9" t="n">
        <v>1</v>
      </c>
      <c r="D74" s="9" t="n">
        <v>625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 t="s">
        <v>50</v>
      </c>
      <c r="P74" s="9" t="s">
        <v>163</v>
      </c>
      <c r="Q74" s="9" t="n">
        <v>1</v>
      </c>
      <c r="R74" s="9" t="n">
        <v>0</v>
      </c>
      <c r="S74" s="9" t="n">
        <v>0</v>
      </c>
    </row>
    <row r="75" customFormat="false" ht="15" hidden="false" customHeight="true" outlineLevel="0" collapsed="false">
      <c r="A75" s="9" t="s">
        <v>234</v>
      </c>
      <c r="B75" s="9" t="s">
        <v>106</v>
      </c>
      <c r="C75" s="9" t="n">
        <v>1</v>
      </c>
      <c r="D75" s="9" t="n">
        <v>157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 t="s">
        <v>160</v>
      </c>
      <c r="Q75" s="9" t="n">
        <v>0</v>
      </c>
      <c r="R75" s="9" t="n">
        <v>0</v>
      </c>
      <c r="S75" s="9" t="n">
        <v>0</v>
      </c>
    </row>
    <row r="76" customFormat="false" ht="15" hidden="false" customHeight="true" outlineLevel="0" collapsed="false">
      <c r="A76" s="9" t="s">
        <v>235</v>
      </c>
      <c r="B76" s="9" t="s">
        <v>106</v>
      </c>
      <c r="C76" s="9" t="n">
        <v>1</v>
      </c>
      <c r="D76" s="9" t="n">
        <v>241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 t="s">
        <v>160</v>
      </c>
      <c r="Q76" s="9" t="n">
        <v>0</v>
      </c>
      <c r="R76" s="9" t="n">
        <v>0</v>
      </c>
      <c r="S76" s="9" t="n">
        <v>0</v>
      </c>
    </row>
    <row r="77" customFormat="false" ht="15" hidden="false" customHeight="true" outlineLevel="0" collapsed="false">
      <c r="A77" s="9" t="s">
        <v>236</v>
      </c>
      <c r="B77" s="9" t="s">
        <v>106</v>
      </c>
      <c r="C77" s="9" t="n">
        <v>1</v>
      </c>
      <c r="D77" s="9" t="n">
        <v>761</v>
      </c>
      <c r="E77" s="9"/>
      <c r="F77" s="9"/>
      <c r="G77" s="9"/>
      <c r="H77" s="9"/>
      <c r="I77" s="9"/>
      <c r="J77" s="9"/>
      <c r="K77" s="9"/>
      <c r="L77" s="9"/>
      <c r="M77" s="9"/>
      <c r="N77" s="9"/>
      <c r="O77" s="9" t="s">
        <v>50</v>
      </c>
      <c r="P77" s="9" t="s">
        <v>163</v>
      </c>
      <c r="Q77" s="9" t="n">
        <v>1</v>
      </c>
      <c r="R77" s="9" t="n">
        <v>0</v>
      </c>
      <c r="S77" s="9" t="n">
        <v>0</v>
      </c>
    </row>
    <row r="78" customFormat="false" ht="15" hidden="false" customHeight="true" outlineLevel="0" collapsed="false">
      <c r="A78" s="9" t="s">
        <v>237</v>
      </c>
      <c r="B78" s="9" t="s">
        <v>106</v>
      </c>
      <c r="C78" s="9" t="n">
        <v>1</v>
      </c>
      <c r="D78" s="9" t="n">
        <v>319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 t="s">
        <v>160</v>
      </c>
      <c r="Q78" s="9" t="n">
        <v>0</v>
      </c>
      <c r="R78" s="9" t="n">
        <v>0</v>
      </c>
      <c r="S78" s="9" t="n">
        <v>0</v>
      </c>
    </row>
    <row r="79" customFormat="false" ht="15" hidden="false" customHeight="true" outlineLevel="0" collapsed="false">
      <c r="A79" s="9" t="s">
        <v>238</v>
      </c>
      <c r="B79" s="9" t="s">
        <v>106</v>
      </c>
      <c r="C79" s="9" t="n">
        <v>1</v>
      </c>
      <c r="D79" s="9" t="n">
        <v>319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 t="s">
        <v>50</v>
      </c>
      <c r="P79" s="9" t="s">
        <v>163</v>
      </c>
      <c r="Q79" s="9" t="n">
        <v>1</v>
      </c>
      <c r="R79" s="9" t="n">
        <v>0</v>
      </c>
      <c r="S79" s="9" t="n">
        <v>0</v>
      </c>
    </row>
    <row r="80" customFormat="false" ht="15" hidden="false" customHeight="true" outlineLevel="0" collapsed="false">
      <c r="A80" s="9" t="s">
        <v>239</v>
      </c>
      <c r="B80" s="9" t="s">
        <v>106</v>
      </c>
      <c r="C80" s="9" t="n">
        <v>1</v>
      </c>
      <c r="D80" s="9" t="n">
        <v>319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 t="s">
        <v>50</v>
      </c>
      <c r="P80" s="9" t="s">
        <v>163</v>
      </c>
      <c r="Q80" s="9" t="n">
        <v>1</v>
      </c>
      <c r="R80" s="9" t="n">
        <v>0</v>
      </c>
      <c r="S80" s="9" t="n">
        <v>0</v>
      </c>
    </row>
    <row r="81" customFormat="false" ht="15" hidden="false" customHeight="true" outlineLevel="0" collapsed="false">
      <c r="A81" s="9" t="s">
        <v>240</v>
      </c>
      <c r="B81" s="9" t="s">
        <v>107</v>
      </c>
      <c r="C81" s="9" t="n">
        <v>1</v>
      </c>
      <c r="D81" s="9" t="n">
        <v>761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 t="s">
        <v>50</v>
      </c>
      <c r="P81" s="9" t="s">
        <v>163</v>
      </c>
      <c r="Q81" s="9" t="n">
        <v>1</v>
      </c>
      <c r="R81" s="9" t="n">
        <v>0</v>
      </c>
      <c r="S81" s="9" t="n">
        <v>0</v>
      </c>
    </row>
    <row r="82" customFormat="false" ht="15" hidden="false" customHeight="true" outlineLevel="0" collapsed="false">
      <c r="A82" s="9" t="s">
        <v>241</v>
      </c>
      <c r="B82" s="9" t="s">
        <v>108</v>
      </c>
      <c r="C82" s="9" t="n">
        <v>1</v>
      </c>
      <c r="D82" s="9" t="n">
        <v>625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 t="s">
        <v>160</v>
      </c>
      <c r="Q82" s="9" t="n">
        <v>0</v>
      </c>
      <c r="R82" s="9" t="n">
        <v>0</v>
      </c>
      <c r="S82" s="9" t="n">
        <v>0</v>
      </c>
    </row>
    <row r="83" customFormat="false" ht="15" hidden="false" customHeight="true" outlineLevel="0" collapsed="false">
      <c r="A83" s="9" t="s">
        <v>242</v>
      </c>
      <c r="B83" s="9" t="s">
        <v>109</v>
      </c>
      <c r="C83" s="9" t="n">
        <v>1</v>
      </c>
      <c r="D83" s="9" t="n">
        <v>115</v>
      </c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 t="s">
        <v>160</v>
      </c>
      <c r="Q83" s="9" t="n">
        <v>0</v>
      </c>
      <c r="R83" s="9" t="n">
        <v>0</v>
      </c>
      <c r="S83" s="9" t="n">
        <v>0</v>
      </c>
    </row>
    <row r="84" customFormat="false" ht="15" hidden="false" customHeight="true" outlineLevel="0" collapsed="false">
      <c r="A84" s="9" t="s">
        <v>243</v>
      </c>
      <c r="B84" s="9" t="s">
        <v>109</v>
      </c>
      <c r="C84" s="9" t="n">
        <v>1</v>
      </c>
      <c r="D84" s="9" t="n">
        <v>625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 t="s">
        <v>160</v>
      </c>
      <c r="Q84" s="9" t="n">
        <v>0</v>
      </c>
      <c r="R84" s="9" t="n">
        <v>0</v>
      </c>
      <c r="S84" s="9" t="n">
        <v>0</v>
      </c>
    </row>
    <row r="85" customFormat="false" ht="15" hidden="false" customHeight="true" outlineLevel="0" collapsed="false">
      <c r="A85" s="9" t="s">
        <v>244</v>
      </c>
      <c r="B85" s="9" t="s">
        <v>110</v>
      </c>
      <c r="C85" s="9" t="n">
        <v>1</v>
      </c>
      <c r="D85" s="9" t="n">
        <v>625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 t="s">
        <v>160</v>
      </c>
      <c r="Q85" s="9" t="n">
        <v>0</v>
      </c>
      <c r="R85" s="9" t="n">
        <v>0</v>
      </c>
      <c r="S85" s="9" t="n">
        <v>0</v>
      </c>
    </row>
    <row r="86" customFormat="false" ht="15" hidden="false" customHeight="true" outlineLevel="0" collapsed="false">
      <c r="A86" s="9" t="s">
        <v>245</v>
      </c>
      <c r="B86" s="9" t="s">
        <v>110</v>
      </c>
      <c r="C86" s="9" t="n">
        <v>1</v>
      </c>
      <c r="D86" s="9" t="n">
        <v>159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 t="s">
        <v>160</v>
      </c>
      <c r="Q86" s="9" t="n">
        <v>0</v>
      </c>
      <c r="R86" s="9" t="n">
        <v>0</v>
      </c>
      <c r="S86" s="9" t="n">
        <v>0</v>
      </c>
    </row>
    <row r="87" customFormat="false" ht="15" hidden="false" customHeight="true" outlineLevel="0" collapsed="false">
      <c r="A87" s="9" t="s">
        <v>246</v>
      </c>
      <c r="B87" s="9" t="s">
        <v>110</v>
      </c>
      <c r="C87" s="9" t="n">
        <v>1</v>
      </c>
      <c r="D87" s="9" t="n">
        <v>159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 t="s">
        <v>160</v>
      </c>
      <c r="Q87" s="9" t="n">
        <v>0</v>
      </c>
      <c r="R87" s="9" t="n">
        <v>0</v>
      </c>
      <c r="S87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2026-07-29T08:29:41Z</dcterms:created>
  <dc:creator>openpyxl</dc:creator>
  <dc:description/>
  <dc:language>en-US</dc:language>
  <cp:lastModifiedBy/>
  <dcterms:modified xsi:type="dcterms:W3CDTF">2026-07-31T06:26:55Z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