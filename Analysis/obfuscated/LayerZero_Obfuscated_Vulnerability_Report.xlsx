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Formula_Definitions" sheetId="2" state="visible" r:id="rId4"/>
    <sheet name="Per_Vulnerability_Analysis" sheetId="3" state="visible" r:id="rId5"/>
    <sheet name="Detection_Count_Analysis" sheetId="4" state="visible" r:id="rId6"/>
    <sheet name="Tool_Wise_Analysis" sheetId="5" state="visible" r:id="rId7"/>
    <sheet name="Contract_Level_Statistics" sheetId="6" state="visible" r:id="rId8"/>
    <sheet name="Agreement_Jaccard" sheetId="7" state="visible" r:id="rId9"/>
    <sheet name="Key_Findings" sheetId="8" state="visible" r:id="rId10"/>
    <sheet name="Why_These_Results" sheetId="9" state="visible" r:id="rId11"/>
    <sheet name="Data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<sst xmlns="http://schemas.openxmlformats.org/spreadsheetml/2006/main" count="578" uniqueCount="237">
  <si>
    <t xml:space="preserve">LayerZero_Obfuscated — Bridge Bytecode Vulnerability Detection: Executive Summary</t>
  </si>
  <si>
    <t xml:space="preserve">KEY METRICS</t>
  </si>
  <si>
    <t xml:space="preserve">WHAT THE DATA SHOWS</t>
  </si>
  <si>
    <t xml:space="preserve">Metric</t>
  </si>
  <si>
    <t xml:space="preserve">Formula</t>
  </si>
  <si>
    <t xml:space="preserve">Interpretation</t>
  </si>
  <si>
    <t xml:space="preserve">Detections D(v)</t>
  </si>
  <si>
    <t xml:space="preserve">COUNTIF(category_column, "&lt;&gt;")</t>
  </si>
  <si>
    <t xml:space="preserve">Number of contracts flagged for vulnerability v by its reporting tool</t>
  </si>
  <si>
    <t xml:space="preserve">Contracts w/ Bytecode</t>
  </si>
  <si>
    <t xml:space="preserve">SUM(Has_Bytecode)</t>
  </si>
  <si>
    <t xml:space="preserve">Denominator for prevalence; excludes EOA/unverified/no-code addresses</t>
  </si>
  <si>
    <t xml:space="preserve">Prevalence %</t>
  </si>
  <si>
    <t xml:space="preserve">D(v) / Contracts_w_Bytecode</t>
  </si>
  <si>
    <t xml:space="preserve">Share of resolved contracts flagged for category v</t>
  </si>
  <si>
    <t xml:space="preserve">Overall Vulnerable</t>
  </si>
  <si>
    <t xml:space="preserve">COUNTIFS(Has_Bytecode=1, Vulnerable="Yes")</t>
  </si>
  <si>
    <t xml:space="preserve">Contracts flagged by &gt;=1 tool, among resolved contracts</t>
  </si>
  <si>
    <t xml:space="preserve">Flags per Contract</t>
  </si>
  <si>
    <t xml:space="preserve">COUNT of active categories triggered per row</t>
  </si>
  <si>
    <t xml:space="preserve">How many distinct categories fire on the same contract</t>
  </si>
  <si>
    <t xml:space="preserve">Tool Flag Rate %</t>
  </si>
  <si>
    <t xml:space="preserve">Tool-flagged contracts / Contracts w/ Bytecode</t>
  </si>
  <si>
    <t xml:space="preserve">Per-tool prevalence, independent of category breakdown</t>
  </si>
  <si>
    <t xml:space="preserve">Jaccard Index J(A,B)</t>
  </si>
  <si>
    <t xml:space="preserve">|A ∩ B| / |A ∪ B|</t>
  </si>
  <si>
    <t xml:space="preserve">Overlap between the two tools' flagged sets; 0=no overlap, 1=identical sets</t>
  </si>
  <si>
    <t xml:space="preserve">Vulnerable Rate % (chain)</t>
  </si>
  <si>
    <t xml:space="preserve">Vulnerable(chain) / With_Bytecode(chain)</t>
  </si>
  <si>
    <t xml:space="preserve">Per-chain share of resolved contracts flagged</t>
  </si>
  <si>
    <t xml:space="preserve">LayerZero_Obfuscated — Per-Vulnerability Analysis</t>
  </si>
  <si>
    <t xml:space="preserve">Category</t>
  </si>
  <si>
    <t xml:space="preserve">Detecting Tool</t>
  </si>
  <si>
    <t xml:space="preserve">Note</t>
  </si>
  <si>
    <t xml:space="preserve">Reentrancy</t>
  </si>
  <si>
    <t xml:space="preserve">Securify</t>
  </si>
  <si>
    <t xml:space="preserve">Bytecode-level detection</t>
  </si>
  <si>
    <t xml:space="preserve">Integer</t>
  </si>
  <si>
    <t xml:space="preserve">Not covered (0 detections)</t>
  </si>
  <si>
    <t xml:space="preserve">Zero detections this run</t>
  </si>
  <si>
    <t xml:space="preserve">Access Control</t>
  </si>
  <si>
    <t xml:space="preserve">Delegatecall</t>
  </si>
  <si>
    <t xml:space="preserve">Unchecked Call</t>
  </si>
  <si>
    <t xml:space="preserve">Timestamp</t>
  </si>
  <si>
    <t xml:space="preserve">TOD</t>
  </si>
  <si>
    <t xml:space="preserve">DoS</t>
  </si>
  <si>
    <t xml:space="preserve">Mythril</t>
  </si>
  <si>
    <t xml:space="preserve">Selfdestruct</t>
  </si>
  <si>
    <t xml:space="preserve">Locked Ether</t>
  </si>
  <si>
    <t xml:space="preserve">MAIAN</t>
  </si>
  <si>
    <t xml:space="preserve">Ether Leak</t>
  </si>
  <si>
    <t xml:space="preserve">OVERALL VULNERABLE</t>
  </si>
  <si>
    <t xml:space="preserve">Any tool</t>
  </si>
  <si>
    <t xml:space="preserve">Flagged by &gt;=1 tool</t>
  </si>
  <si>
    <t xml:space="preserve">LayerZero_Obfuscated — Detection Count Analysis</t>
  </si>
  <si>
    <t xml:space="preserve">Flags per contract = count of (Reentrancy, Access Control, Unchecked Call, TOD, DoS, Locked Ether, Ether Leak) triggered on that contract</t>
  </si>
  <si>
    <t xml:space="preserve">Contract Count</t>
  </si>
  <si>
    <t xml:space="preserve">% of Bytecode Contracts</t>
  </si>
  <si>
    <t xml:space="preserve">0 categories flagged</t>
  </si>
  <si>
    <t xml:space="preserve">1 categories flagged</t>
  </si>
  <si>
    <t xml:space="preserve">2 categories flagged</t>
  </si>
  <si>
    <t xml:space="preserve">3 categories flagged</t>
  </si>
  <si>
    <t xml:space="preserve">4 categories flagged</t>
  </si>
  <si>
    <t xml:space="preserve">5 categories flagged</t>
  </si>
  <si>
    <t xml:space="preserve">6 categories flagged</t>
  </si>
  <si>
    <t xml:space="preserve">7 categories flagged</t>
  </si>
  <si>
    <t xml:space="preserve">Total contracts w/ bytecode</t>
  </si>
  <si>
    <t xml:space="preserve">Total raw detections (sum across all 11 categories)</t>
  </si>
  <si>
    <t xml:space="preserve">Avg detections per bytecode-resolved contract</t>
  </si>
  <si>
    <t xml:space="preserve">LayerZero_Obfuscated — Tool-wise Analysis</t>
  </si>
  <si>
    <t xml:space="preserve">Tool</t>
  </si>
  <si>
    <t xml:space="preserve">Categories Covered</t>
  </si>
  <si>
    <t xml:space="preserve">Contracts Flagged</t>
  </si>
  <si>
    <t xml:space="preserve">Flag Rate %</t>
  </si>
  <si>
    <t xml:space="preserve">Locked Ether, Ether Leak</t>
  </si>
  <si>
    <t xml:space="preserve">Symbolic execution, financial-flow analysis</t>
  </si>
  <si>
    <t xml:space="preserve">Bytecode symbolic execution</t>
  </si>
  <si>
    <t xml:space="preserve">Reentrancy, Access Control, Unchecked Call, TOD</t>
  </si>
  <si>
    <t xml:space="preserve">Others (n/a)</t>
  </si>
  <si>
    <t xml:space="preserve">Integer, Delegatecall, Timestamp, Selfdestruct</t>
  </si>
  <si>
    <t xml:space="preserve">Zero detections in this run</t>
  </si>
  <si>
    <t xml:space="preserve">LayerZero_Obfuscated — Contract-Level Statistics</t>
  </si>
  <si>
    <t xml:space="preserve">Addresses queried</t>
  </si>
  <si>
    <t xml:space="preserve">Chains covered</t>
  </si>
  <si>
    <t xml:space="preserve">Contracts analyzed (bytecode resolved / detection ran)</t>
  </si>
  <si>
    <t xml:space="preserve">Not analyzed (EOA / unverified / not found)</t>
  </si>
  <si>
    <t xml:space="preserve">...of which bytecode text is blank in source export</t>
  </si>
  <si>
    <t xml:space="preserve">Detections still recorded; only the raw bytecode string is missing from the export</t>
  </si>
  <si>
    <t xml:space="preserve">Avg bytecode length (hex chars, where text available)</t>
  </si>
  <si>
    <t xml:space="preserve">Rounded to nearest char; excludes blank-text rows</t>
  </si>
  <si>
    <t xml:space="preserve">Min bytecode length (where text available)</t>
  </si>
  <si>
    <t xml:space="preserve">Max bytecode length</t>
  </si>
  <si>
    <t xml:space="preserve">Per-Chain Breakdown</t>
  </si>
  <si>
    <t xml:space="preserve">Chain</t>
  </si>
  <si>
    <t xml:space="preserve">Addresses</t>
  </si>
  <si>
    <t xml:space="preserve">With Bytecode</t>
  </si>
  <si>
    <t xml:space="preserve">Vulnerable Rate %</t>
  </si>
  <si>
    <t xml:space="preserve">All (chain not encoded in address)</t>
  </si>
  <si>
    <t xml:space="preserve">LayerZero_Obfuscated — Tool Agreement (Jaccard Index)</t>
  </si>
  <si>
    <t xml:space="preserve">Pairwise agreement among 3 tools (MAIAN, Mythril, Securify), among contracts with bytecode.</t>
  </si>
  <si>
    <t xml:space="preserve">MAIAN vs Mythril</t>
  </si>
  <si>
    <t xml:space="preserve">Set</t>
  </si>
  <si>
    <t xml:space="preserve">Count</t>
  </si>
  <si>
    <t xml:space="preserve">Definition</t>
  </si>
  <si>
    <t xml:space="preserve">Both flag (A ∩ B)</t>
  </si>
  <si>
    <t xml:space="preserve">MAIAN AND Mythril</t>
  </si>
  <si>
    <t xml:space="preserve">Only MAIAN flags (A \ B)</t>
  </si>
  <si>
    <t xml:space="preserve">MAIAN only</t>
  </si>
  <si>
    <t xml:space="preserve">Only Mythril flags (B \ A)</t>
  </si>
  <si>
    <t xml:space="preserve">Mythril only</t>
  </si>
  <si>
    <t xml:space="preserve">Neither flags</t>
  </si>
  <si>
    <t xml:space="preserve">Resolved contract, no flag from either tool</t>
  </si>
  <si>
    <t xml:space="preserve">Union (A ∪ B)</t>
  </si>
  <si>
    <t xml:space="preserve">Jaccard Index J(MAIAN,Mythril) = |A∩B| / |A∪B|</t>
  </si>
  <si>
    <t xml:space="preserve">MAIAN vs Securify</t>
  </si>
  <si>
    <t xml:space="preserve">MAIAN AND Securify</t>
  </si>
  <si>
    <t xml:space="preserve">Only Securify flags (B \ A)</t>
  </si>
  <si>
    <t xml:space="preserve">Securify only</t>
  </si>
  <si>
    <t xml:space="preserve">Jaccard Index J(MAIAN,Securify) = |A∩B| / |A∪B|</t>
  </si>
  <si>
    <t xml:space="preserve">Mythril vs Securify</t>
  </si>
  <si>
    <t xml:space="preserve">Mythril AND Securify</t>
  </si>
  <si>
    <t xml:space="preserve">Only Mythril flags (A \ B)</t>
  </si>
  <si>
    <t xml:space="preserve">Jaccard Index J(Mythril,Securify) = |A∩B| / |A∪B|</t>
  </si>
  <si>
    <t xml:space="preserve">LayerZero_Obfuscated — Key Findings</t>
  </si>
  <si>
    <t xml:space="preserve">LayerZero Obfuscated — Why These Results: Forensic Explanation of the Detection Pattern</t>
  </si>
  <si>
    <t xml:space="preserve">Findings below combine (a) direct inspection of the raw BOSC-obfuscated bytecode where available, and (b) matched-pair comparison against the ORIGINAL (unobfuscated) run on the same addresses.</t>
  </si>
  <si>
    <t xml:space="preserve">1. WHY THE TOOL SET FIRING HERE IS Mythril/MAIAN/Securify</t>
  </si>
  <si>
    <t xml:space="preserve">LayerZero's obfuscated run retains all three tools (Mythril, MAIAN, Securify) actually firing, unlike CCIP (no Mythril) and Axelar (Mythril only). This makes LayerZero one of the more complete obfuscated datasets for a fair category-level comparison against its original run.</t>
  </si>
  <si>
    <t xml:space="preserve">2. WHAT CHANGED VERSUS THE ORIGINAL (UNOBFUSCATED) BYTECODE, SAME CONTRACTS</t>
  </si>
  <si>
    <t xml:space="preserve">On the 72 addresses successfully analyzed in BOTH the original and obfuscated runs: original vulnerable rate 59.7% -&gt; obfuscated vulnerable rate 43.1%. 25 contracts that were flagged originally evaded ALL detection after obfuscation (58.1% evasion rate among originally-flagged contracts); 13 contracts that were clean originally were newly flagged after obfuscation.</t>
  </si>
  <si>
    <t xml:space="preserve">LayerZero is one of the protocols where obfuscation also produced NEW detections (13 contracts flagged that were clean originally) - not just hidden ones. This suggests obfuscation transformations here (e.g. struct-packing or flat-filing) can introduce code patterns that trip a tool's heuristic without there being a new genuine bug, which is itself evidence that these detectors respond to surface code structure rather than purely semantic vulnerability.</t>
  </si>
  <si>
    <t xml:space="preserve">3. BYTECODE-LEVEL OBSERVATIONS</t>
  </si>
  <si>
    <t xml:space="preserve">Bytecode text is available for 88 of 88 obfuscated contracts, ranging 127-35437 hex characters (median 298). Note: BOSC's obfuscated bytecode export in this dataset is not formatted identically to the raw eth_getCode output used for the original bytecode analysis (no 0x prefix, and apparent leading-zero/byte normalization), so direct length-for-length comparison against the original bytecode reports should be treated as illustrative rather than exact.</t>
  </si>
  <si>
    <t xml:space="preserve">Average CALLVALUE (opcode 0x34) occurrences per contract: 1.77.</t>
  </si>
  <si>
    <t xml:space="preserve">SUMMARY</t>
  </si>
  <si>
    <t xml:space="preserve">LayerZero obfuscated shows a 16.7% point drop in matched-contract vulnerable rate, with both evasion (25 contracts) and some new detections (13 contracts) - consistent with obfuscation partially, not completely, defeating this dataset's bytecode-level tools.</t>
  </si>
  <si>
    <t xml:space="preserve">Address</t>
  </si>
  <si>
    <t xml:space="preserve">Has_Bytecode</t>
  </si>
  <si>
    <t xml:space="preserve">Bytecode_Length</t>
  </si>
  <si>
    <t xml:space="preserve">Access_Control</t>
  </si>
  <si>
    <t xml:space="preserve">Unchecked_Call</t>
  </si>
  <si>
    <t xml:space="preserve">Locked_Ether</t>
  </si>
  <si>
    <t xml:space="preserve">Ether_Leak</t>
  </si>
  <si>
    <t xml:space="preserve">Vulnerable</t>
  </si>
  <si>
    <t xml:space="preserve">MAIAN_Flag</t>
  </si>
  <si>
    <t xml:space="preserve">Mythril_Flag</t>
  </si>
  <si>
    <t xml:space="preserve">Securify_Flag</t>
  </si>
  <si>
    <t xml:space="preserve">0x0171830E6C8d7f28cbE35A2045919a415B04a5fF</t>
  </si>
  <si>
    <t xml:space="preserve">No</t>
  </si>
  <si>
    <t xml:space="preserve">0x0408804C5dcD9796F22558464E6fE5bDdF16A7c7</t>
  </si>
  <si>
    <t xml:space="preserve">0x05B52859Adb077a7b7D6277a512aEfEFbaDDc9C8</t>
  </si>
  <si>
    <t xml:space="preserve">Yes</t>
  </si>
  <si>
    <t xml:space="preserve">0x068EC1f0bd53cf86923BbB0986046be6af3f5922</t>
  </si>
  <si>
    <t xml:space="preserve">0x06e56abD0cb3C88880644bA3C534A498cA18E5C8</t>
  </si>
  <si>
    <t xml:space="preserve">0x14a6A3d612A04225df4825A365688F33DA4969De</t>
  </si>
  <si>
    <t xml:space="preserve">0x1641D737e97916f1400CB6BA032eceE765484D9C</t>
  </si>
  <si>
    <t xml:space="preserve">0x166CAb679EBDB0853055522D3B523621b94029a1</t>
  </si>
  <si>
    <t xml:space="preserve">0x173272739Bd7Aa6e4e214714048a9fE699453059</t>
  </si>
  <si>
    <t xml:space="preserve">0x1BAcC2205312534375c8d1801C27D28370656cFf</t>
  </si>
  <si>
    <t xml:space="preserve">0x1Bef2d7C5c60fD826Cc1b1f29cA357Af2d0Ae2c6</t>
  </si>
  <si>
    <t xml:space="preserve">0x1E1E9A04735B9ca509eF8a46255f5104C10C6e99</t>
  </si>
  <si>
    <t xml:space="preserve">0x1b368a0d7c57080a01054862114B5a42e54CBb98</t>
  </si>
  <si>
    <t xml:space="preserve">0x1ccBf0db9C192d969de57E25B3fF09A25bb1D862</t>
  </si>
  <si>
    <t xml:space="preserve">0x1dDbaF8b75F2291A97C22428afEf411b7bB19e28</t>
  </si>
  <si>
    <t xml:space="preserve">0x24D7ff228a81e827Efc29ec45E7b30a99B96C653</t>
  </si>
  <si>
    <t xml:space="preserve">0x28eEE23B2b6C5582112037FD43A4d8C359F54D4D</t>
  </si>
  <si>
    <t xml:space="preserve">0x2B79f3C2EE059E465a24bf5A2F4FE989546053B1</t>
  </si>
  <si>
    <t xml:space="preserve">0x2F0788fFbf8fCa58B2ea10c05F0CA9931ffC8978</t>
  </si>
  <si>
    <t xml:space="preserve">0x2F4C6eeA955e95e6d65E08620D980C0e0e92211F</t>
  </si>
  <si>
    <t xml:space="preserve">0x2F64656569c098fdfb0bD0ab2f3616005E295810</t>
  </si>
  <si>
    <t xml:space="preserve">0x2c83731aa397cd8E6bF8C77d9090b8845581d08c</t>
  </si>
  <si>
    <t xml:space="preserve">0x2e2AF282E98bfADed5dd6EC51c7240D818DDBBD9</t>
  </si>
  <si>
    <t xml:space="preserve">0x30F776548f9Aaad0935E2c03e930d10F15cE558f</t>
  </si>
  <si>
    <t xml:space="preserve">0x31CAe3B7fB82d847621859fb1585353c5720660D</t>
  </si>
  <si>
    <t xml:space="preserve">0x32042142DD551b4EbE17B6FEd53131dd4b4eEa06</t>
  </si>
  <si>
    <t xml:space="preserve">0x3258287147FB7887d8A643006e26E19368057377</t>
  </si>
  <si>
    <t xml:space="preserve">0x377530cdA84DFb2673bF4d145DCF0C4D7fdcB5b6</t>
  </si>
  <si>
    <t xml:space="preserve">0x38340337f9ADF5D76029Ab3A667d34E5a032F7BA</t>
  </si>
  <si>
    <t xml:space="preserve">0x3C156b1f625D2B4E004D43E91aC2c3a719C29c7B</t>
  </si>
  <si>
    <t xml:space="preserve">0x3b4453D9e884dA5A8C917Ab7679D66c92069e7F7</t>
  </si>
  <si>
    <t xml:space="preserve">0x42b4E9C6495B4cFDaE024B1eC32E09F28027620e</t>
  </si>
  <si>
    <t xml:space="preserve">0x43CFcc293CdF99F7D021F21FfD443f174AB0e843</t>
  </si>
  <si>
    <t xml:space="preserve">0x44289609cc6781fa2C665796b6c5AAbf9FFceDC5</t>
  </si>
  <si>
    <t xml:space="preserve">0x4E341b9Cf90514A5b7dfec2c9A1f20AA4514C260</t>
  </si>
  <si>
    <t xml:space="preserve">0x4Fc3f4A38Acd6E4cC0ccBc04B3Dd1CCAeFd7F3Cd</t>
  </si>
  <si>
    <t xml:space="preserve">0x52fFEeaE5Ffa89D4b31c72F87ead3699FCB79e40</t>
  </si>
  <si>
    <t xml:space="preserve">0x5440E2097C41F8e0a8551521d569c71de70fDe23</t>
  </si>
  <si>
    <t xml:space="preserve">0x552661d1C85F256E008eE2315103c80fd1E298DF</t>
  </si>
  <si>
    <t xml:space="preserve">0x59dAE6516D2fA7F21195adC0Cda14d819D21031C</t>
  </si>
  <si>
    <t xml:space="preserve">0x643E1471f37c4680Df30cF0C540Cd379a0fF58A5</t>
  </si>
  <si>
    <t xml:space="preserve">0x6862dEd20594DA16B7cbB282894FaE23043A32BC</t>
  </si>
  <si>
    <t xml:space="preserve">0x6A6991E0bF27E3CcCDe6B73dE94b7DA6e240FF6E</t>
  </si>
  <si>
    <t xml:space="preserve">0x6A6C548058094e6dFaF95Bb0b5d04e1dd8ec0870</t>
  </si>
  <si>
    <t xml:space="preserve">0x6c26c61a97006888ea9E4FA36584c7df57Cd9dA3</t>
  </si>
  <si>
    <t xml:space="preserve">0x6c47E59BC0600942146BF37668fc92b369C85ab7</t>
  </si>
  <si>
    <t xml:space="preserve">0x73Dd395E80A2dD6D88dB11E69f15d534D182F019</t>
  </si>
  <si>
    <t xml:space="preserve">0x747C741496a507E4B404b50463e691A8d692f6Ac</t>
  </si>
  <si>
    <t xml:space="preserve">0x74F55Bc2a79A27A0bF1D1A35dB5d0Fc36b9FDB9D</t>
  </si>
  <si>
    <t xml:space="preserve">0x758C419533ad64Ce9D3413BC8d3A97B026098EC1</t>
  </si>
  <si>
    <t xml:space="preserve">0x7B9E184e07a6EE1aC23eAe0fe8D6Be2f663f05e6</t>
  </si>
  <si>
    <t xml:space="preserve">0x860E8D714944E7accE4F9e6247923ec5d30c0471</t>
  </si>
  <si>
    <t xml:space="preserve">0x87794d2f64e076694a153aFdb12cA62eb9C2ea5B</t>
  </si>
  <si>
    <t xml:space="preserve">0x8FAFC84cAeA1Cef8475cb5CB344658D160c9CE0b</t>
  </si>
  <si>
    <t xml:space="preserve">0x8a893567f27893e6E0c7b6bba8769d9ab3E911Ff</t>
  </si>
  <si>
    <t xml:space="preserve">0x8bC1e36F015b9902B54b1387A4d733cebc2f5A4e</t>
  </si>
  <si>
    <t xml:space="preserve">0x8da6512De9379fBF4F09BF520Caf7a85435ed93e</t>
  </si>
  <si>
    <t xml:space="preserve">0x9714Ccf1dedeF14BaB5013625DB92746C1358cb4</t>
  </si>
  <si>
    <t xml:space="preserve">0x975bcD720be66659e3EB3C0e4F1866a3020E493A</t>
  </si>
  <si>
    <t xml:space="preserve">0x9BbEb2B2184B9313Cf5ed4a4DDFEa2ef62a2a03B</t>
  </si>
  <si>
    <t xml:space="preserve">0x9C061c9A4782294eeF65ef28Cb88233A987F4bdD</t>
  </si>
  <si>
    <t xml:space="preserve">0x9c9e25F9fC4e8134313C2a9f5c719f5c9F4fbD95</t>
  </si>
  <si>
    <t xml:space="preserve">0x9d799c1935c51CA399e6465Ed9841DEbCcEc413E</t>
  </si>
  <si>
    <t xml:space="preserve">0xA79c7375fE2B68F56825C221e5Ea9fBbB5d42EDC</t>
  </si>
  <si>
    <t xml:space="preserve">0xACbD57daAafb7D9798992A7b0382fc67d3E316f3</t>
  </si>
  <si>
    <t xml:space="preserve">0xDa9B06132Dd3B5CdA3cAb2d1516038A8625fef08</t>
  </si>
  <si>
    <t xml:space="preserve">0xE22ED54177CE1148C557de74E4873619e6c6b205</t>
  </si>
  <si>
    <t xml:space="preserve">0xEC0906949f88f72bF9206E84764163e24a56a499</t>
  </si>
  <si>
    <t xml:space="preserve">0xa20DB4Ffe74A31D17fc24BD32a7DD7555441058e</t>
  </si>
  <si>
    <t xml:space="preserve">0xaDDed4478B423d991C21E525Cd3638FBce1AaD17</t>
  </si>
  <si>
    <t xml:space="preserve">0xbB2Ea70C9E858123480642Cf96acbcCE1372dCe1</t>
  </si>
  <si>
    <t xml:space="preserve">0xbBDd27544348636a3FeBe51Df7531Cc1726f3c8B</t>
  </si>
  <si>
    <t xml:space="preserve">0xbF2E102Fb382d6EC52823C8F81A45e9Caa951320</t>
  </si>
  <si>
    <t xml:space="preserve">0xbcd4CADCac3F767C57c4F402932C4705DF62BEFf</t>
  </si>
  <si>
    <t xml:space="preserve">0xc02Ab410f0734EFa3F14628780e6e695156024C2</t>
  </si>
  <si>
    <t xml:space="preserve">0xc1B621b18187F74c8F6D52a6F709Dd2780C09821</t>
  </si>
  <si>
    <t xml:space="preserve">0xc214d690031d3F873365f94d381D6D50c35AA7FA</t>
  </si>
  <si>
    <t xml:space="preserve">0xc30Ff4F3182A75C0bE27493fA357886c06c384b6</t>
  </si>
  <si>
    <t xml:space="preserve">0xc67f8f84d00A4908581B235F1Abe0FE3aFC8126F</t>
  </si>
  <si>
    <t xml:space="preserve">0xcCE466a522984415bC91338c232d98869193D46e</t>
  </si>
  <si>
    <t xml:space="preserve">0xd0a9ec7544106258c5836121fA032AE65c83f99B</t>
  </si>
  <si>
    <t xml:space="preserve">0xde19274c009A22921E3966a1Ec868cEba40A5DaC</t>
  </si>
  <si>
    <t xml:space="preserve">0xe25741bda30bb79a66ADf656E7f2D3f0C4fb3191</t>
  </si>
  <si>
    <t xml:space="preserve">0xe57308A83D94276C27232189Db8BdE8E2FFe41a3</t>
  </si>
  <si>
    <t xml:space="preserve">0xe70cA542A9f2D932aD34efE3a681D83828452666</t>
  </si>
  <si>
    <t xml:space="preserve">0xe8BAa65CeD8E46DA43520375Af6fAbC31D7bCb8B</t>
  </si>
  <si>
    <t xml:space="preserve">0xeac136456d078bB76f59DCcb2d5E008b31AfE1cF</t>
  </si>
  <si>
    <t xml:space="preserve">0xf772581dcf3300914D6222C4e6FcF0ed5EF93142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</si>
</sst>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%"/>
    <numFmt numFmtId="166" formatCode="0.00"/>
    <numFmt numFmtId="167" formatCode="0.0"/>
    <numFmt numFmtId="168" formatCode="0.00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name val="Arial"/>
      <family val="0"/>
      <charset val="1"/>
    </font>
    <font>
      <sz val="9"/>
      <name val="Arial"/>
      <family val="0"/>
      <charset val="1"/>
    </font>
    <font>
      <i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9.5" hidden="false" customHeight="true" outlineLevel="0" collapsed="false">
      <c r="A1" s="2" t="s">
        <v>0</v>
      </c>
    </row>
    <row r="3" customFormat="false" ht="15.75" hidden="false" customHeight="true" outlineLevel="0" collapsed="false">
      <c r="A3" s="3" t="s">
        <v>1</v>
      </c>
    </row>
    <row r="4" customFormat="false" ht="15" hidden="false" customHeight="true" outlineLevel="0" collapsed="false">
      <c r="A4" s="4" t="str">
        <f aca="false">"Addresses queried: "&amp;COUNTA(Data!A2:A89)&amp;"  |  Chains covered: 1"</f>
        <v>Addresses queried: 88  |  Chains covered: 1</v>
      </c>
    </row>
    <row r="5" customFormat="false" ht="15" hidden="false" customHeight="true" outlineLevel="0" collapsed="false">
      <c r="A5" s="4" t="str">
        <f aca="false">"Contracts with resolved bytecode: "&amp;SUM(Data!C2:C89)&amp;"  |  No bytecode (EOA/unverified): "&amp;(COUNTA(Data!A2:A89)-SUM(Data!C2:C89))</f>
        <v>Contracts with resolved bytecode: 88  |  No bytecode (EOA/unverified): 0</v>
      </c>
    </row>
    <row r="6" customFormat="false" ht="15" hidden="false" customHeight="true" outlineLevel="0" collapsed="false">
      <c r="A6" s="4" t="str">
        <f aca="false">"Overall vulnerable (&gt;=1 tool): "&amp;TEXT(Per_Vulnerability_Analysis!C15/Per_Vulnerability_Analysis!D15,"0.0%")&amp;" of resolved contracts ("&amp;Per_Vulnerability_Analysis!C15&amp;"/"&amp;Per_Vulnerability_Analysis!D15&amp;")"</f>
        <v>Overall vulnerable (&gt;=1 tool): 53.4% of resolved contracts (47/88)</v>
      </c>
    </row>
    <row r="7" customFormat="false" ht="15" hidden="false" customHeight="true" outlineLevel="0" collapsed="false">
      <c r="A7" s="4" t="str">
        <f aca="false">"MAIAN flag rate: "&amp;TEXT(Tool_Wise_Analysis!E4,"0.0%")</f>
        <v>MAIAN flag rate: 40.9%</v>
      </c>
    </row>
    <row r="8" customFormat="false" ht="15" hidden="false" customHeight="true" outlineLevel="0" collapsed="false">
      <c r="A8" s="4" t="str">
        <f aca="false">"Mythril flag rate: "&amp;TEXT(Tool_Wise_Analysis!E5,"0.0%")</f>
        <v>Mythril flag rate: 13.6%</v>
      </c>
    </row>
    <row r="9" customFormat="false" ht="15" hidden="false" customHeight="true" outlineLevel="0" collapsed="false">
      <c r="A9" s="4" t="str">
        <f aca="false">"Securify flag rate: "&amp;TEXT(Tool_Wise_Analysis!E6,"0.0%")</f>
        <v>Securify flag rate: 17.0%</v>
      </c>
    </row>
    <row r="10" customFormat="false" ht="15" hidden="false" customHeight="true" outlineLevel="0" collapsed="false">
      <c r="A10" s="4" t="str">
        <f aca="false">"Tool agreement (Jaccard, MAIAN vs Securify): "&amp;TEXT(Agreement_Jaccard!B20,"0.0000")</f>
        <v>Tool agreement (Jaccard, MAIAN vs Securify): 0.0851</v>
      </c>
    </row>
    <row r="12" customFormat="false" ht="15.75" hidden="false" customHeight="true" outlineLevel="0" collapsed="false">
      <c r="A12" s="3" t="s">
        <v>2</v>
      </c>
    </row>
    <row r="13" customFormat="false" ht="15" hidden="false" customHeight="true" outlineLevel="0" collapsed="false">
      <c r="A13" s="4" t="str">
        <f aca="false">"Highest-prevalence category: "&amp;INDEX(Per_Vulnerability_Analysis!A4:A14,MATCH(MAX(Per_Vulnerability_Analysis!C4:C14),Per_Vulnerability_Analysis!C4:C14,0))&amp;" ("&amp;TEXT(MAX(Per_Vulnerability_Analysis!E4:E14),"0.0%")&amp;" prevalence)"</f>
        <v>Highest-prevalence category: Ether Leak (40.9% prevalence)</v>
      </c>
    </row>
    <row r="14" customFormat="false" ht="15" hidden="false" customHeight="true" outlineLevel="0" collapsed="false">
      <c r="A14" s="4" t="str">
        <f aca="false">"Only MAIAN, Mythril, Securify returned detections in this run; 4 of 11 tracked categories show zero hits — see Formula_Definitions / Per_Vulnerability_Analysis."</f>
        <v>Only MAIAN, Mythril, Securify returned detections in this run; 4 of 11 tracked categories show zero hits — see Formula_Definitions / Per_Vulnerability_Analysis.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48"/>
  </cols>
  <sheetData>
    <row r="1" customFormat="false" ht="15" hidden="false" customHeight="true" outlineLevel="0" collapsed="false">
      <c r="A1" s="5" t="s">
        <v>3</v>
      </c>
      <c r="B1" s="5" t="s">
        <v>4</v>
      </c>
      <c r="C1" s="5" t="s">
        <v>5</v>
      </c>
    </row>
    <row r="2" customFormat="false" ht="23.25" hidden="false" customHeight="true" outlineLevel="0" collapsed="false">
      <c r="A2" s="6" t="s">
        <v>6</v>
      </c>
      <c r="B2" s="6" t="s">
        <v>7</v>
      </c>
      <c r="C2" s="6" t="s">
        <v>8</v>
      </c>
    </row>
    <row r="3" customFormat="false" ht="23.25" hidden="false" customHeight="true" outlineLevel="0" collapsed="false">
      <c r="A3" s="6" t="s">
        <v>9</v>
      </c>
      <c r="B3" s="6" t="s">
        <v>10</v>
      </c>
      <c r="C3" s="6" t="s">
        <v>11</v>
      </c>
    </row>
    <row r="4" customFormat="false" ht="15" hidden="false" customHeight="true" outlineLevel="0" collapsed="false">
      <c r="A4" s="6" t="s">
        <v>12</v>
      </c>
      <c r="B4" s="6" t="s">
        <v>13</v>
      </c>
      <c r="C4" s="6" t="s">
        <v>14</v>
      </c>
    </row>
    <row r="5" customFormat="false" ht="15" hidden="false" customHeight="true" outlineLevel="0" collapsed="false">
      <c r="A5" s="6" t="s">
        <v>15</v>
      </c>
      <c r="B5" s="6" t="s">
        <v>16</v>
      </c>
      <c r="C5" s="6" t="s">
        <v>17</v>
      </c>
    </row>
    <row r="6" customFormat="false" ht="15" hidden="false" customHeight="true" outlineLevel="0" collapsed="false">
      <c r="A6" s="6" t="s">
        <v>18</v>
      </c>
      <c r="B6" s="6" t="s">
        <v>19</v>
      </c>
      <c r="C6" s="6" t="s">
        <v>20</v>
      </c>
    </row>
    <row r="7" customFormat="false" ht="15" hidden="false" customHeight="true" outlineLevel="0" collapsed="false">
      <c r="A7" s="6" t="s">
        <v>21</v>
      </c>
      <c r="B7" s="6" t="s">
        <v>22</v>
      </c>
      <c r="C7" s="6" t="s">
        <v>23</v>
      </c>
    </row>
    <row r="8" customFormat="false" ht="23.25" hidden="false" customHeight="true" outlineLevel="0" collapsed="false">
      <c r="A8" s="6" t="s">
        <v>24</v>
      </c>
      <c r="B8" s="6" t="s">
        <v>25</v>
      </c>
      <c r="C8" s="6" t="s">
        <v>26</v>
      </c>
    </row>
    <row r="9" customFormat="false" ht="15" hidden="false" customHeight="true" outlineLevel="0" collapsed="false">
      <c r="A9" s="6" t="s">
        <v>27</v>
      </c>
      <c r="B9" s="6" t="s">
        <v>28</v>
      </c>
      <c r="C9" s="6" t="s">
        <v>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6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6" min="5" style="1" width="14"/>
    <col collapsed="false" customWidth="true" hidden="false" outlineLevel="0" max="7" min="7" style="1" width="42"/>
  </cols>
  <sheetData>
    <row r="1" customFormat="false" ht="15.75" hidden="false" customHeight="true" outlineLevel="0" collapsed="false">
      <c r="A1" s="7" t="s">
        <v>30</v>
      </c>
      <c r="B1" s="7"/>
      <c r="C1" s="7"/>
      <c r="D1" s="7"/>
      <c r="E1" s="7"/>
      <c r="F1" s="7"/>
    </row>
    <row r="3" customFormat="false" ht="26.25" hidden="false" customHeight="true" outlineLevel="0" collapsed="false">
      <c r="A3" s="8" t="s">
        <v>31</v>
      </c>
      <c r="B3" s="8" t="s">
        <v>32</v>
      </c>
      <c r="C3" s="8" t="s">
        <v>6</v>
      </c>
      <c r="D3" s="8" t="s">
        <v>9</v>
      </c>
      <c r="E3" s="8" t="s">
        <v>12</v>
      </c>
      <c r="F3" s="8" t="s">
        <v>33</v>
      </c>
    </row>
    <row r="4" customFormat="false" ht="15" hidden="false" customHeight="true" outlineLevel="0" collapsed="false">
      <c r="A4" s="9" t="s">
        <v>34</v>
      </c>
      <c r="B4" s="9" t="s">
        <v>35</v>
      </c>
      <c r="C4" s="9" t="n">
        <f aca="false">COUNTIF(Data!E2:E89,"&lt;&gt;")</f>
        <v>15</v>
      </c>
      <c r="D4" s="9" t="n">
        <f aca="false">SUM(Data!C2:C89)</f>
        <v>88</v>
      </c>
      <c r="E4" s="10" t="n">
        <f aca="false">IF(D4=0,0,C4/D4)</f>
        <v>0.170454545454545</v>
      </c>
      <c r="F4" s="11" t="s">
        <v>36</v>
      </c>
    </row>
    <row r="5" customFormat="false" ht="15" hidden="false" customHeight="true" outlineLevel="0" collapsed="false">
      <c r="A5" s="9" t="s">
        <v>37</v>
      </c>
      <c r="B5" s="9" t="s">
        <v>38</v>
      </c>
      <c r="C5" s="9" t="n">
        <f aca="false">COUNTIF(Data!F2:F89,"&lt;&gt;")</f>
        <v>0</v>
      </c>
      <c r="D5" s="9" t="n">
        <f aca="false">SUM(Data!C2:C89)</f>
        <v>88</v>
      </c>
      <c r="E5" s="10" t="n">
        <f aca="false">IF(D5=0,0,C5/D5)</f>
        <v>0</v>
      </c>
      <c r="F5" s="11" t="s">
        <v>39</v>
      </c>
    </row>
    <row r="6" customFormat="false" ht="15" hidden="false" customHeight="true" outlineLevel="0" collapsed="false">
      <c r="A6" s="9" t="s">
        <v>40</v>
      </c>
      <c r="B6" s="9" t="s">
        <v>35</v>
      </c>
      <c r="C6" s="9" t="n">
        <f aca="false">COUNTIF(Data!G2:G89,"&lt;&gt;")</f>
        <v>15</v>
      </c>
      <c r="D6" s="9" t="n">
        <f aca="false">SUM(Data!C2:C89)</f>
        <v>88</v>
      </c>
      <c r="E6" s="10" t="n">
        <f aca="false">IF(D6=0,0,C6/D6)</f>
        <v>0.170454545454545</v>
      </c>
      <c r="F6" s="11" t="s">
        <v>36</v>
      </c>
    </row>
    <row r="7" customFormat="false" ht="15" hidden="false" customHeight="true" outlineLevel="0" collapsed="false">
      <c r="A7" s="9" t="s">
        <v>41</v>
      </c>
      <c r="B7" s="9" t="s">
        <v>38</v>
      </c>
      <c r="C7" s="9" t="n">
        <f aca="false">COUNTIF(Data!H2:H89,"&lt;&gt;")</f>
        <v>0</v>
      </c>
      <c r="D7" s="9" t="n">
        <f aca="false">SUM(Data!C2:C89)</f>
        <v>88</v>
      </c>
      <c r="E7" s="10" t="n">
        <f aca="false">IF(D7=0,0,C7/D7)</f>
        <v>0</v>
      </c>
      <c r="F7" s="11" t="s">
        <v>39</v>
      </c>
    </row>
    <row r="8" customFormat="false" ht="15" hidden="false" customHeight="true" outlineLevel="0" collapsed="false">
      <c r="A8" s="9" t="s">
        <v>42</v>
      </c>
      <c r="B8" s="9" t="s">
        <v>35</v>
      </c>
      <c r="C8" s="9" t="n">
        <f aca="false">COUNTIF(Data!I2:I89,"&lt;&gt;")</f>
        <v>15</v>
      </c>
      <c r="D8" s="9" t="n">
        <f aca="false">SUM(Data!C2:C89)</f>
        <v>88</v>
      </c>
      <c r="E8" s="10" t="n">
        <f aca="false">IF(D8=0,0,C8/D8)</f>
        <v>0.170454545454545</v>
      </c>
      <c r="F8" s="11" t="s">
        <v>36</v>
      </c>
    </row>
    <row r="9" customFormat="false" ht="15" hidden="false" customHeight="true" outlineLevel="0" collapsed="false">
      <c r="A9" s="9" t="s">
        <v>43</v>
      </c>
      <c r="B9" s="9" t="s">
        <v>38</v>
      </c>
      <c r="C9" s="9" t="n">
        <f aca="false">COUNTIF(Data!J2:J89,"&lt;&gt;")</f>
        <v>0</v>
      </c>
      <c r="D9" s="9" t="n">
        <f aca="false">SUM(Data!C2:C89)</f>
        <v>88</v>
      </c>
      <c r="E9" s="10" t="n">
        <f aca="false">IF(D9=0,0,C9/D9)</f>
        <v>0</v>
      </c>
      <c r="F9" s="11" t="s">
        <v>39</v>
      </c>
    </row>
    <row r="10" customFormat="false" ht="15" hidden="false" customHeight="true" outlineLevel="0" collapsed="false">
      <c r="A10" s="9" t="s">
        <v>44</v>
      </c>
      <c r="B10" s="9" t="s">
        <v>35</v>
      </c>
      <c r="C10" s="9" t="n">
        <f aca="false">COUNTIF(Data!K2:K89,"&lt;&gt;")</f>
        <v>15</v>
      </c>
      <c r="D10" s="9" t="n">
        <f aca="false">SUM(Data!C2:C89)</f>
        <v>88</v>
      </c>
      <c r="E10" s="10" t="n">
        <f aca="false">IF(D10=0,0,C10/D10)</f>
        <v>0.170454545454545</v>
      </c>
      <c r="F10" s="11" t="s">
        <v>36</v>
      </c>
    </row>
    <row r="11" customFormat="false" ht="15" hidden="false" customHeight="true" outlineLevel="0" collapsed="false">
      <c r="A11" s="9" t="s">
        <v>45</v>
      </c>
      <c r="B11" s="9" t="s">
        <v>46</v>
      </c>
      <c r="C11" s="9" t="n">
        <f aca="false">COUNTIF(Data!L2:L89,"&lt;&gt;")</f>
        <v>12</v>
      </c>
      <c r="D11" s="9" t="n">
        <f aca="false">SUM(Data!C2:C89)</f>
        <v>88</v>
      </c>
      <c r="E11" s="10" t="n">
        <f aca="false">IF(D11=0,0,C11/D11)</f>
        <v>0.136363636363636</v>
      </c>
      <c r="F11" s="11" t="s">
        <v>36</v>
      </c>
    </row>
    <row r="12" customFormat="false" ht="15" hidden="false" customHeight="true" outlineLevel="0" collapsed="false">
      <c r="A12" s="9" t="s">
        <v>47</v>
      </c>
      <c r="B12" s="9" t="s">
        <v>38</v>
      </c>
      <c r="C12" s="9" t="n">
        <f aca="false">COUNTIF(Data!M2:M89,"&lt;&gt;")</f>
        <v>0</v>
      </c>
      <c r="D12" s="9" t="n">
        <f aca="false">SUM(Data!C2:C89)</f>
        <v>88</v>
      </c>
      <c r="E12" s="10" t="n">
        <f aca="false">IF(D12=0,0,C12/D12)</f>
        <v>0</v>
      </c>
      <c r="F12" s="11" t="s">
        <v>39</v>
      </c>
    </row>
    <row r="13" customFormat="false" ht="15" hidden="false" customHeight="true" outlineLevel="0" collapsed="false">
      <c r="A13" s="9" t="s">
        <v>48</v>
      </c>
      <c r="B13" s="9" t="s">
        <v>49</v>
      </c>
      <c r="C13" s="9" t="n">
        <f aca="false">COUNTIF(Data!N2:N89,"&lt;&gt;")</f>
        <v>2</v>
      </c>
      <c r="D13" s="9" t="n">
        <f aca="false">SUM(Data!C2:C89)</f>
        <v>88</v>
      </c>
      <c r="E13" s="10" t="n">
        <f aca="false">IF(D13=0,0,C13/D13)</f>
        <v>0.0227272727272727</v>
      </c>
      <c r="F13" s="11" t="s">
        <v>36</v>
      </c>
    </row>
    <row r="14" customFormat="false" ht="15" hidden="false" customHeight="true" outlineLevel="0" collapsed="false">
      <c r="A14" s="9" t="s">
        <v>50</v>
      </c>
      <c r="B14" s="9" t="s">
        <v>49</v>
      </c>
      <c r="C14" s="9" t="n">
        <f aca="false">COUNTIF(Data!O2:O89,"&lt;&gt;")</f>
        <v>36</v>
      </c>
      <c r="D14" s="9" t="n">
        <f aca="false">SUM(Data!C2:C89)</f>
        <v>88</v>
      </c>
      <c r="E14" s="10" t="n">
        <f aca="false">IF(D14=0,0,C14/D14)</f>
        <v>0.409090909090909</v>
      </c>
      <c r="F14" s="11" t="s">
        <v>36</v>
      </c>
    </row>
    <row r="15" customFormat="false" ht="15" hidden="false" customHeight="true" outlineLevel="0" collapsed="false">
      <c r="A15" s="12" t="s">
        <v>51</v>
      </c>
      <c r="B15" s="12" t="s">
        <v>52</v>
      </c>
      <c r="C15" s="12" t="n">
        <f aca="false">COUNTIFS(Data!C2:C89,1,Data!P2:P89,"Yes")</f>
        <v>47</v>
      </c>
      <c r="D15" s="12" t="n">
        <f aca="false">SUM(Data!C2:C89)</f>
        <v>88</v>
      </c>
      <c r="E15" s="13" t="n">
        <f aca="false">IF(D15=0,0,C15/D15)</f>
        <v>0.534090909090909</v>
      </c>
      <c r="F15" s="14" t="s">
        <v>53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6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7" t="s">
        <v>54</v>
      </c>
      <c r="B1" s="7"/>
      <c r="C1" s="7"/>
      <c r="D1" s="7"/>
    </row>
    <row r="3" customFormat="false" ht="15" hidden="false" customHeight="true" outlineLevel="0" collapsed="false">
      <c r="A3" s="15" t="s">
        <v>55</v>
      </c>
      <c r="B3" s="15"/>
      <c r="C3" s="15"/>
      <c r="D3" s="15"/>
    </row>
    <row r="5" customFormat="false" ht="15" hidden="false" customHeight="true" outlineLevel="0" collapsed="false">
      <c r="A5" s="16" t="s">
        <v>18</v>
      </c>
      <c r="B5" s="16" t="s">
        <v>56</v>
      </c>
      <c r="C5" s="16" t="s">
        <v>57</v>
      </c>
      <c r="D5" s="16" t="s">
        <v>33</v>
      </c>
    </row>
    <row r="6" customFormat="false" ht="15" hidden="false" customHeight="true" outlineLevel="0" collapsed="false">
      <c r="A6" s="9" t="s">
        <v>58</v>
      </c>
      <c r="B6" s="9" t="n">
        <f aca="false">SUMPRODUCT((Data!C2:C89=1)*(((Data!E2:E89&lt;&gt;"")+(Data!G2:G89&lt;&gt;"")+(Data!I2:I89&lt;&gt;"")+(Data!K2:K89&lt;&gt;"")+(Data!L2:L89&lt;&gt;"")+(Data!N2:N89&lt;&gt;"")+(Data!O2:O89&lt;&gt;""))=0))</f>
        <v>41</v>
      </c>
      <c r="C6" s="10" t="n">
        <f aca="false">IF(SUM(Data!C2:C89)=0,0,B6/SUM(Data!C2:C89))</f>
        <v>0.465909090909091</v>
      </c>
      <c r="D6" s="17"/>
    </row>
    <row r="7" customFormat="false" ht="15" hidden="false" customHeight="true" outlineLevel="0" collapsed="false">
      <c r="A7" s="9" t="s">
        <v>59</v>
      </c>
      <c r="B7" s="9" t="n">
        <f aca="false">SUMPRODUCT((Data!C2:C89=1)*(((Data!E2:E89&lt;&gt;"")+(Data!G2:G89&lt;&gt;"")+(Data!I2:I89&lt;&gt;"")+(Data!K2:K89&lt;&gt;"")+(Data!L2:L89&lt;&gt;"")+(Data!N2:N89&lt;&gt;"")+(Data!O2:O89&lt;&gt;""))=1))</f>
        <v>30</v>
      </c>
      <c r="C7" s="10" t="n">
        <f aca="false">IF(SUM(Data!C2:C89)=0,0,B7/SUM(Data!C2:C89))</f>
        <v>0.340909090909091</v>
      </c>
      <c r="D7" s="17"/>
    </row>
    <row r="8" customFormat="false" ht="15" hidden="false" customHeight="true" outlineLevel="0" collapsed="false">
      <c r="A8" s="9" t="s">
        <v>60</v>
      </c>
      <c r="B8" s="9" t="n">
        <f aca="false">SUMPRODUCT((Data!C2:C89=1)*(((Data!E2:E89&lt;&gt;"")+(Data!G2:G89&lt;&gt;"")+(Data!I2:I89&lt;&gt;"")+(Data!K2:K89&lt;&gt;"")+(Data!L2:L89&lt;&gt;"")+(Data!N2:N89&lt;&gt;"")+(Data!O2:O89&lt;&gt;""))=2))</f>
        <v>2</v>
      </c>
      <c r="C8" s="10" t="n">
        <f aca="false">IF(SUM(Data!C2:C89)=0,0,B8/SUM(Data!C2:C89))</f>
        <v>0.0227272727272727</v>
      </c>
      <c r="D8" s="17"/>
    </row>
    <row r="9" customFormat="false" ht="15" hidden="false" customHeight="true" outlineLevel="0" collapsed="false">
      <c r="A9" s="9" t="s">
        <v>61</v>
      </c>
      <c r="B9" s="9" t="n">
        <f aca="false">SUMPRODUCT((Data!C2:C89=1)*(((Data!E2:E89&lt;&gt;"")+(Data!G2:G89&lt;&gt;"")+(Data!I2:I89&lt;&gt;"")+(Data!K2:K89&lt;&gt;"")+(Data!L2:L89&lt;&gt;"")+(Data!N2:N89&lt;&gt;"")+(Data!O2:O89&lt;&gt;""))=3))</f>
        <v>0</v>
      </c>
      <c r="C9" s="10" t="n">
        <f aca="false">IF(SUM(Data!C2:C89)=0,0,B9/SUM(Data!C2:C89))</f>
        <v>0</v>
      </c>
      <c r="D9" s="17"/>
    </row>
    <row r="10" customFormat="false" ht="15" hidden="false" customHeight="true" outlineLevel="0" collapsed="false">
      <c r="A10" s="9" t="s">
        <v>62</v>
      </c>
      <c r="B10" s="9" t="n">
        <f aca="false">SUMPRODUCT((Data!C2:C89=1)*(((Data!E2:E89&lt;&gt;"")+(Data!G2:G89&lt;&gt;"")+(Data!I2:I89&lt;&gt;"")+(Data!K2:K89&lt;&gt;"")+(Data!L2:L89&lt;&gt;"")+(Data!N2:N89&lt;&gt;"")+(Data!O2:O89&lt;&gt;""))=4))</f>
        <v>3</v>
      </c>
      <c r="C10" s="10" t="n">
        <f aca="false">IF(SUM(Data!C2:C89)=0,0,B10/SUM(Data!C2:C89))</f>
        <v>0.0340909090909091</v>
      </c>
      <c r="D10" s="17"/>
    </row>
    <row r="11" customFormat="false" ht="15" hidden="false" customHeight="true" outlineLevel="0" collapsed="false">
      <c r="A11" s="9" t="s">
        <v>63</v>
      </c>
      <c r="B11" s="9" t="n">
        <f aca="false">SUMPRODUCT((Data!C2:C89=1)*(((Data!E2:E89&lt;&gt;"")+(Data!G2:G89&lt;&gt;"")+(Data!I2:I89&lt;&gt;"")+(Data!K2:K89&lt;&gt;"")+(Data!L2:L89&lt;&gt;"")+(Data!N2:N89&lt;&gt;"")+(Data!O2:O89&lt;&gt;""))=5))</f>
        <v>8</v>
      </c>
      <c r="C11" s="10" t="n">
        <f aca="false">IF(SUM(Data!C2:C89)=0,0,B11/SUM(Data!C2:C89))</f>
        <v>0.0909090909090909</v>
      </c>
      <c r="D11" s="17"/>
    </row>
    <row r="12" customFormat="false" ht="15" hidden="false" customHeight="true" outlineLevel="0" collapsed="false">
      <c r="A12" s="9" t="s">
        <v>64</v>
      </c>
      <c r="B12" s="9" t="n">
        <f aca="false">SUMPRODUCT((Data!C2:C89=1)*(((Data!E2:E89&lt;&gt;"")+(Data!G2:G89&lt;&gt;"")+(Data!I2:I89&lt;&gt;"")+(Data!K2:K89&lt;&gt;"")+(Data!L2:L89&lt;&gt;"")+(Data!N2:N89&lt;&gt;"")+(Data!O2:O89&lt;&gt;""))=6))</f>
        <v>4</v>
      </c>
      <c r="C12" s="10" t="n">
        <f aca="false">IF(SUM(Data!C2:C89)=0,0,B12/SUM(Data!C2:C89))</f>
        <v>0.0454545454545455</v>
      </c>
      <c r="D12" s="17"/>
    </row>
    <row r="13" customFormat="false" ht="15" hidden="false" customHeight="true" outlineLevel="0" collapsed="false">
      <c r="A13" s="9" t="s">
        <v>65</v>
      </c>
      <c r="B13" s="9" t="n">
        <f aca="false">SUMPRODUCT((Data!C2:C89=1)*(((Data!E2:E89&lt;&gt;"")+(Data!G2:G89&lt;&gt;"")+(Data!I2:I89&lt;&gt;"")+(Data!K2:K89&lt;&gt;"")+(Data!L2:L89&lt;&gt;"")+(Data!N2:N89&lt;&gt;"")+(Data!O2:O89&lt;&gt;""))=7))</f>
        <v>0</v>
      </c>
      <c r="C13" s="10" t="n">
        <f aca="false">IF(SUM(Data!C2:C89)=0,0,B13/SUM(Data!C2:C89))</f>
        <v>0</v>
      </c>
      <c r="D13" s="17"/>
    </row>
    <row r="14" customFormat="false" ht="15" hidden="false" customHeight="true" outlineLevel="0" collapsed="false">
      <c r="A14" s="12" t="s">
        <v>66</v>
      </c>
      <c r="B14" s="12" t="n">
        <f aca="false">SUM(B6:B13)</f>
        <v>88</v>
      </c>
    </row>
    <row r="16" customFormat="false" ht="15" hidden="false" customHeight="true" outlineLevel="0" collapsed="false">
      <c r="A16" s="9" t="s">
        <v>67</v>
      </c>
      <c r="B16" s="9" t="n">
        <f aca="false">COUNTIF(Data!E2:E89,"&lt;&gt;")+COUNTIF(Data!F2:F89,"&lt;&gt;")+COUNTIF(Data!G2:G89,"&lt;&gt;")+COUNTIF(Data!H2:H89,"&lt;&gt;")+COUNTIF(Data!I2:I89,"&lt;&gt;")+COUNTIF(Data!J2:J89,"&lt;&gt;")+COUNTIF(Data!K2:K89,"&lt;&gt;")+COUNTIF(Data!L2:L89,"&lt;&gt;")+COUNTIF(Data!M2:M89,"&lt;&gt;")+COUNTIF(Data!N2:N89,"&lt;&gt;")+COUNTIF(Data!O2:O89,"&lt;&gt;")</f>
        <v>110</v>
      </c>
    </row>
    <row r="17" customFormat="false" ht="15" hidden="false" customHeight="true" outlineLevel="0" collapsed="false">
      <c r="A17" s="9" t="s">
        <v>68</v>
      </c>
      <c r="B17" s="18" t="n">
        <f aca="false">B16/SUM(Data!C2:C89)</f>
        <v>1.25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30"/>
    <col collapsed="false" customWidth="true" hidden="false" outlineLevel="0" max="6" min="3" style="1" width="16"/>
    <col collapsed="false" customWidth="true" hidden="false" outlineLevel="0" max="7" min="7" style="1" width="42"/>
  </cols>
  <sheetData>
    <row r="1" customFormat="false" ht="15.75" hidden="false" customHeight="true" outlineLevel="0" collapsed="false">
      <c r="A1" s="7" t="s">
        <v>69</v>
      </c>
      <c r="B1" s="7"/>
      <c r="C1" s="7"/>
      <c r="D1" s="7"/>
      <c r="E1" s="7"/>
      <c r="F1" s="7"/>
    </row>
    <row r="3" customFormat="false" ht="26.25" hidden="false" customHeight="true" outlineLevel="0" collapsed="false">
      <c r="A3" s="8" t="s">
        <v>70</v>
      </c>
      <c r="B3" s="8" t="s">
        <v>71</v>
      </c>
      <c r="C3" s="8" t="s">
        <v>72</v>
      </c>
      <c r="D3" s="8" t="s">
        <v>9</v>
      </c>
      <c r="E3" s="8" t="s">
        <v>73</v>
      </c>
      <c r="F3" s="8" t="s">
        <v>33</v>
      </c>
    </row>
    <row r="4" customFormat="false" ht="15" hidden="false" customHeight="true" outlineLevel="0" collapsed="false">
      <c r="A4" s="9" t="s">
        <v>49</v>
      </c>
      <c r="B4" s="9" t="s">
        <v>74</v>
      </c>
      <c r="C4" s="9" t="n">
        <f aca="false">SUM(Data!Q2:Q89)</f>
        <v>36</v>
      </c>
      <c r="D4" s="9" t="n">
        <f aca="false">SUM(Data!C2:C89)</f>
        <v>88</v>
      </c>
      <c r="E4" s="10" t="n">
        <f aca="false">IF(D4=0,0,C4/D4)</f>
        <v>0.409090909090909</v>
      </c>
      <c r="F4" s="11" t="s">
        <v>75</v>
      </c>
    </row>
    <row r="5" customFormat="false" ht="15" hidden="false" customHeight="true" outlineLevel="0" collapsed="false">
      <c r="A5" s="9" t="s">
        <v>46</v>
      </c>
      <c r="B5" s="9" t="s">
        <v>45</v>
      </c>
      <c r="C5" s="9" t="n">
        <f aca="false">SUM(Data!R2:R89)</f>
        <v>12</v>
      </c>
      <c r="D5" s="9" t="n">
        <f aca="false">SUM(Data!C2:C89)</f>
        <v>88</v>
      </c>
      <c r="E5" s="10" t="n">
        <f aca="false">IF(D5=0,0,C5/D5)</f>
        <v>0.136363636363636</v>
      </c>
      <c r="F5" s="11" t="s">
        <v>76</v>
      </c>
    </row>
    <row r="6" customFormat="false" ht="15" hidden="false" customHeight="true" outlineLevel="0" collapsed="false">
      <c r="A6" s="9" t="s">
        <v>35</v>
      </c>
      <c r="B6" s="9" t="s">
        <v>77</v>
      </c>
      <c r="C6" s="9" t="n">
        <f aca="false">SUM(Data!S2:S89)</f>
        <v>15</v>
      </c>
      <c r="D6" s="9" t="n">
        <f aca="false">SUM(Data!C2:C89)</f>
        <v>88</v>
      </c>
      <c r="E6" s="10" t="n">
        <f aca="false">IF(D6=0,0,C6/D6)</f>
        <v>0.170454545454545</v>
      </c>
      <c r="F6" s="11"/>
    </row>
    <row r="7" customFormat="false" ht="15" hidden="false" customHeight="true" outlineLevel="0" collapsed="false">
      <c r="A7" s="9" t="s">
        <v>78</v>
      </c>
      <c r="B7" s="19" t="s">
        <v>79</v>
      </c>
      <c r="C7" s="9" t="n">
        <v>0</v>
      </c>
      <c r="D7" s="9" t="n">
        <f aca="false">SUM(Data!C2:C89)</f>
        <v>88</v>
      </c>
      <c r="E7" s="10" t="n">
        <v>0</v>
      </c>
      <c r="F7" s="11" t="s">
        <v>80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8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7" t="s">
        <v>81</v>
      </c>
      <c r="B1" s="7"/>
      <c r="C1" s="7"/>
      <c r="D1" s="7"/>
    </row>
    <row r="3" customFormat="false" ht="15" hidden="false" customHeight="true" outlineLevel="0" collapsed="false">
      <c r="A3" s="9" t="s">
        <v>82</v>
      </c>
      <c r="B3" s="9" t="n">
        <f aca="false">COUNTA(Data!A2:A89)</f>
        <v>88</v>
      </c>
      <c r="C3" s="17"/>
      <c r="D3" s="11"/>
    </row>
    <row r="4" customFormat="false" ht="15" hidden="false" customHeight="true" outlineLevel="0" collapsed="false">
      <c r="A4" s="9" t="s">
        <v>83</v>
      </c>
      <c r="B4" s="9" t="n">
        <v>1</v>
      </c>
      <c r="C4" s="17"/>
      <c r="D4" s="11"/>
    </row>
    <row r="5" customFormat="false" ht="15" hidden="false" customHeight="true" outlineLevel="0" collapsed="false">
      <c r="A5" s="9" t="s">
        <v>84</v>
      </c>
      <c r="B5" s="9" t="n">
        <f aca="false">SUM(Data!C2:C89)</f>
        <v>88</v>
      </c>
      <c r="C5" s="17"/>
      <c r="D5" s="11"/>
    </row>
    <row r="6" customFormat="false" ht="15" hidden="false" customHeight="true" outlineLevel="0" collapsed="false">
      <c r="A6" s="9" t="s">
        <v>85</v>
      </c>
      <c r="B6" s="9" t="n">
        <f aca="false">COUNTA(Data!A2:A89)-SUM(Data!C2:C89)</f>
        <v>0</v>
      </c>
      <c r="C6" s="17"/>
      <c r="D6" s="11"/>
    </row>
    <row r="7" customFormat="false" ht="15" hidden="false" customHeight="true" outlineLevel="0" collapsed="false">
      <c r="A7" s="9" t="s">
        <v>86</v>
      </c>
      <c r="B7" s="9" t="n">
        <f aca="false">SUMPRODUCT((Data!C2:C89=1)*(Data!D2:D89=0))</f>
        <v>0</v>
      </c>
      <c r="C7" s="17"/>
      <c r="D7" s="11" t="s">
        <v>87</v>
      </c>
    </row>
    <row r="8" customFormat="false" ht="15" hidden="false" customHeight="true" outlineLevel="0" collapsed="false">
      <c r="A8" s="9" t="s">
        <v>88</v>
      </c>
      <c r="B8" s="20" t="n">
        <f aca="false">IF(SUMPRODUCT((Data!C2:C89=1)*(Data!D2:D89&gt;0))=0,0,SUMIF(Data!C2:C89,1,Data!D2:D89)/SUMPRODUCT((Data!C2:C89=1)*(Data!D2:D89&gt;0)))</f>
        <v>1380.11363636364</v>
      </c>
      <c r="C8" s="17"/>
      <c r="D8" s="11" t="s">
        <v>89</v>
      </c>
    </row>
    <row r="9" customFormat="false" ht="15" hidden="false" customHeight="true" outlineLevel="0" collapsed="false">
      <c r="A9" s="9" t="s">
        <v>90</v>
      </c>
      <c r="B9" s="9" t="n">
        <f aca="false">_xlfn.MINIFS(Data!D2:D89,Data!C2:C89,1,Data!D2:D89,"&gt;0")</f>
        <v>127</v>
      </c>
      <c r="C9" s="17"/>
      <c r="D9" s="11"/>
    </row>
    <row r="10" customFormat="false" ht="15" hidden="false" customHeight="true" outlineLevel="0" collapsed="false">
      <c r="A10" s="9" t="s">
        <v>91</v>
      </c>
      <c r="B10" s="9" t="n">
        <f aca="false">_xlfn.MAXIFS(Data!D2:D89,Data!C2:C89,1)</f>
        <v>35437</v>
      </c>
      <c r="C10" s="17"/>
      <c r="D10" s="11"/>
    </row>
    <row r="12" customFormat="false" ht="15" hidden="false" customHeight="true" outlineLevel="0" collapsed="false">
      <c r="A12" s="21" t="s">
        <v>92</v>
      </c>
      <c r="B12" s="21"/>
      <c r="C12" s="21"/>
      <c r="D12" s="21"/>
    </row>
    <row r="13" customFormat="false" ht="15" hidden="false" customHeight="true" outlineLevel="0" collapsed="false">
      <c r="A13" s="16" t="s">
        <v>93</v>
      </c>
      <c r="B13" s="16" t="s">
        <v>94</v>
      </c>
      <c r="C13" s="16" t="s">
        <v>95</v>
      </c>
      <c r="D13" s="16" t="s">
        <v>96</v>
      </c>
    </row>
    <row r="14" customFormat="false" ht="15" hidden="false" customHeight="true" outlineLevel="0" collapsed="false">
      <c r="A14" s="9" t="s">
        <v>97</v>
      </c>
      <c r="B14" s="9" t="n">
        <f aca="false">COUNTIF(Data!B2:B89,A14)</f>
        <v>88</v>
      </c>
      <c r="C14" s="9" t="n">
        <f aca="false">COUNTIFS(Data!B2:B89,A14,Data!C2:C89,1)</f>
        <v>88</v>
      </c>
      <c r="D14" s="10" t="n">
        <f aca="false">IF(C14=0,0,(COUNTIFS(Data!B2:B89,A14,Data!C2:C89,1,Data!P2:P89,"Yes"))/C14)</f>
        <v>0.534090909090909</v>
      </c>
    </row>
  </sheetData>
  <mergeCells count="2">
    <mergeCell ref="A1:D1"/>
    <mergeCell ref="A12:D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4" min="2" style="1" width="16"/>
    <col collapsed="false" customWidth="true" hidden="false" outlineLevel="0" max="5" min="5" style="1" width="42"/>
  </cols>
  <sheetData>
    <row r="1" customFormat="false" ht="15.75" hidden="false" customHeight="true" outlineLevel="0" collapsed="false">
      <c r="A1" s="7" t="s">
        <v>98</v>
      </c>
      <c r="B1" s="7"/>
      <c r="C1" s="7"/>
      <c r="D1" s="7"/>
    </row>
    <row r="2" customFormat="false" ht="15" hidden="false" customHeight="true" outlineLevel="0" collapsed="false">
      <c r="A2" s="15" t="s">
        <v>99</v>
      </c>
      <c r="B2" s="15"/>
      <c r="C2" s="15"/>
      <c r="D2" s="15"/>
    </row>
    <row r="4" customFormat="false" ht="15" hidden="false" customHeight="true" outlineLevel="0" collapsed="false">
      <c r="A4" s="21" t="s">
        <v>100</v>
      </c>
      <c r="B4" s="21"/>
      <c r="C4" s="21"/>
      <c r="D4" s="21"/>
    </row>
    <row r="5" customFormat="false" ht="15" hidden="false" customHeight="true" outlineLevel="0" collapsed="false">
      <c r="A5" s="16" t="s">
        <v>101</v>
      </c>
      <c r="B5" s="16" t="s">
        <v>102</v>
      </c>
      <c r="C5" s="16" t="s">
        <v>57</v>
      </c>
      <c r="D5" s="16" t="s">
        <v>103</v>
      </c>
    </row>
    <row r="6" customFormat="false" ht="15" hidden="false" customHeight="true" outlineLevel="0" collapsed="false">
      <c r="A6" s="9" t="s">
        <v>104</v>
      </c>
      <c r="B6" s="9" t="n">
        <f aca="false">SUMPRODUCT((Data!C2:C89=1)*(Data!Q2:Q89=1)*(Data!R2:R89=1))</f>
        <v>4</v>
      </c>
      <c r="C6" s="10" t="n">
        <f aca="false">IF(SUM(Data!C2:C89)=0,0,B6/SUM(Data!C2:C89))</f>
        <v>0.0454545454545455</v>
      </c>
      <c r="D6" s="11" t="s">
        <v>105</v>
      </c>
    </row>
    <row r="7" customFormat="false" ht="15" hidden="false" customHeight="true" outlineLevel="0" collapsed="false">
      <c r="A7" s="9" t="s">
        <v>106</v>
      </c>
      <c r="B7" s="9" t="n">
        <f aca="false">SUMPRODUCT((Data!C2:C89=1)*(Data!Q2:Q89=1)*(Data!R2:R89=0))</f>
        <v>32</v>
      </c>
      <c r="C7" s="10" t="n">
        <f aca="false">IF(SUM(Data!C2:C89)=0,0,B7/SUM(Data!C2:C89))</f>
        <v>0.363636363636364</v>
      </c>
      <c r="D7" s="11" t="s">
        <v>107</v>
      </c>
    </row>
    <row r="8" customFormat="false" ht="15" hidden="false" customHeight="true" outlineLevel="0" collapsed="false">
      <c r="A8" s="9" t="s">
        <v>108</v>
      </c>
      <c r="B8" s="9" t="n">
        <f aca="false">SUMPRODUCT((Data!C2:C89=1)*(Data!Q2:Q89=0)*(Data!R2:R89=1))</f>
        <v>8</v>
      </c>
      <c r="C8" s="10" t="n">
        <f aca="false">IF(SUM(Data!C2:C89)=0,0,B8/SUM(Data!C2:C89))</f>
        <v>0.0909090909090909</v>
      </c>
      <c r="D8" s="11" t="s">
        <v>109</v>
      </c>
    </row>
    <row r="9" customFormat="false" ht="15" hidden="false" customHeight="true" outlineLevel="0" collapsed="false">
      <c r="A9" s="9" t="s">
        <v>110</v>
      </c>
      <c r="B9" s="9" t="n">
        <f aca="false">SUMPRODUCT((Data!C2:C89=1)*(Data!Q2:Q89=0)*(Data!R2:R89=0))</f>
        <v>44</v>
      </c>
      <c r="C9" s="10" t="n">
        <f aca="false">IF(SUM(Data!C2:C89)=0,0,B9/SUM(Data!C2:C89))</f>
        <v>0.5</v>
      </c>
      <c r="D9" s="11" t="s">
        <v>111</v>
      </c>
    </row>
    <row r="10" customFormat="false" ht="15" hidden="false" customHeight="true" outlineLevel="0" collapsed="false">
      <c r="A10" s="22" t="s">
        <v>112</v>
      </c>
      <c r="B10" s="22" t="n">
        <f aca="false">B6+B7+B8</f>
        <v>44</v>
      </c>
    </row>
    <row r="11" customFormat="false" ht="15" hidden="false" customHeight="true" outlineLevel="0" collapsed="false">
      <c r="A11" s="12" t="s">
        <v>113</v>
      </c>
      <c r="B11" s="23" t="n">
        <f aca="false">IF(B10=0,0,B6/B10)</f>
        <v>0.0909090909090909</v>
      </c>
    </row>
    <row r="13" customFormat="false" ht="15" hidden="false" customHeight="true" outlineLevel="0" collapsed="false">
      <c r="A13" s="21" t="s">
        <v>114</v>
      </c>
      <c r="B13" s="21"/>
      <c r="C13" s="21"/>
      <c r="D13" s="21"/>
    </row>
    <row r="14" customFormat="false" ht="15" hidden="false" customHeight="true" outlineLevel="0" collapsed="false">
      <c r="A14" s="16" t="s">
        <v>101</v>
      </c>
      <c r="B14" s="16" t="s">
        <v>102</v>
      </c>
      <c r="C14" s="16" t="s">
        <v>57</v>
      </c>
      <c r="D14" s="16" t="s">
        <v>103</v>
      </c>
    </row>
    <row r="15" customFormat="false" ht="15" hidden="false" customHeight="true" outlineLevel="0" collapsed="false">
      <c r="A15" s="9" t="s">
        <v>104</v>
      </c>
      <c r="B15" s="9" t="n">
        <f aca="false">SUMPRODUCT((Data!C2:C89=1)*(Data!Q2:Q89=1)*(Data!S2:S89=1))</f>
        <v>4</v>
      </c>
      <c r="C15" s="10" t="n">
        <f aca="false">IF(SUM(Data!C2:C89)=0,0,B15/SUM(Data!C2:C89))</f>
        <v>0.0454545454545455</v>
      </c>
      <c r="D15" s="11" t="s">
        <v>115</v>
      </c>
    </row>
    <row r="16" customFormat="false" ht="15" hidden="false" customHeight="true" outlineLevel="0" collapsed="false">
      <c r="A16" s="9" t="s">
        <v>106</v>
      </c>
      <c r="B16" s="9" t="n">
        <f aca="false">SUMPRODUCT((Data!C2:C89=1)*(Data!Q2:Q89=1)*(Data!S2:S89=0))</f>
        <v>32</v>
      </c>
      <c r="C16" s="10" t="n">
        <f aca="false">IF(SUM(Data!C2:C89)=0,0,B16/SUM(Data!C2:C89))</f>
        <v>0.363636363636364</v>
      </c>
      <c r="D16" s="11" t="s">
        <v>107</v>
      </c>
    </row>
    <row r="17" customFormat="false" ht="15" hidden="false" customHeight="true" outlineLevel="0" collapsed="false">
      <c r="A17" s="9" t="s">
        <v>116</v>
      </c>
      <c r="B17" s="9" t="n">
        <f aca="false">SUMPRODUCT((Data!C2:C89=1)*(Data!Q2:Q89=0)*(Data!S2:S89=1))</f>
        <v>11</v>
      </c>
      <c r="C17" s="10" t="n">
        <f aca="false">IF(SUM(Data!C2:C89)=0,0,B17/SUM(Data!C2:C89))</f>
        <v>0.125</v>
      </c>
      <c r="D17" s="11" t="s">
        <v>117</v>
      </c>
    </row>
    <row r="18" customFormat="false" ht="15" hidden="false" customHeight="true" outlineLevel="0" collapsed="false">
      <c r="A18" s="9" t="s">
        <v>110</v>
      </c>
      <c r="B18" s="9" t="n">
        <f aca="false">SUMPRODUCT((Data!C2:C89=1)*(Data!Q2:Q89=0)*(Data!S2:S89=0))</f>
        <v>41</v>
      </c>
      <c r="C18" s="10" t="n">
        <f aca="false">IF(SUM(Data!C2:C89)=0,0,B18/SUM(Data!C2:C89))</f>
        <v>0.465909090909091</v>
      </c>
      <c r="D18" s="11" t="s">
        <v>111</v>
      </c>
    </row>
    <row r="19" customFormat="false" ht="15" hidden="false" customHeight="true" outlineLevel="0" collapsed="false">
      <c r="A19" s="22" t="s">
        <v>112</v>
      </c>
      <c r="B19" s="22" t="n">
        <f aca="false">B15+B16+B17</f>
        <v>47</v>
      </c>
    </row>
    <row r="20" customFormat="false" ht="15" hidden="false" customHeight="true" outlineLevel="0" collapsed="false">
      <c r="A20" s="12" t="s">
        <v>118</v>
      </c>
      <c r="B20" s="23" t="n">
        <f aca="false">IF(B19=0,0,B15/B19)</f>
        <v>0.0851063829787234</v>
      </c>
    </row>
    <row r="22" customFormat="false" ht="15" hidden="false" customHeight="true" outlineLevel="0" collapsed="false">
      <c r="A22" s="21" t="s">
        <v>119</v>
      </c>
      <c r="B22" s="21"/>
      <c r="C22" s="21"/>
      <c r="D22" s="21"/>
    </row>
    <row r="23" customFormat="false" ht="15" hidden="false" customHeight="true" outlineLevel="0" collapsed="false">
      <c r="A23" s="16" t="s">
        <v>101</v>
      </c>
      <c r="B23" s="16" t="s">
        <v>102</v>
      </c>
      <c r="C23" s="16" t="s">
        <v>57</v>
      </c>
      <c r="D23" s="16" t="s">
        <v>103</v>
      </c>
    </row>
    <row r="24" customFormat="false" ht="15" hidden="false" customHeight="true" outlineLevel="0" collapsed="false">
      <c r="A24" s="9" t="s">
        <v>104</v>
      </c>
      <c r="B24" s="9" t="n">
        <f aca="false">SUMPRODUCT((Data!C2:C89=1)*(Data!R2:R89=1)*(Data!S2:S89=1))</f>
        <v>12</v>
      </c>
      <c r="C24" s="10" t="n">
        <f aca="false">IF(SUM(Data!C2:C89)=0,0,B24/SUM(Data!C2:C89))</f>
        <v>0.136363636363636</v>
      </c>
      <c r="D24" s="11" t="s">
        <v>120</v>
      </c>
    </row>
    <row r="25" customFormat="false" ht="15" hidden="false" customHeight="true" outlineLevel="0" collapsed="false">
      <c r="A25" s="9" t="s">
        <v>121</v>
      </c>
      <c r="B25" s="9" t="n">
        <f aca="false">SUMPRODUCT((Data!C2:C89=1)*(Data!R2:R89=1)*(Data!S2:S89=0))</f>
        <v>0</v>
      </c>
      <c r="C25" s="10" t="n">
        <f aca="false">IF(SUM(Data!C2:C89)=0,0,B25/SUM(Data!C2:C89))</f>
        <v>0</v>
      </c>
      <c r="D25" s="11" t="s">
        <v>109</v>
      </c>
    </row>
    <row r="26" customFormat="false" ht="15" hidden="false" customHeight="true" outlineLevel="0" collapsed="false">
      <c r="A26" s="9" t="s">
        <v>116</v>
      </c>
      <c r="B26" s="9" t="n">
        <f aca="false">SUMPRODUCT((Data!C2:C89=1)*(Data!R2:R89=0)*(Data!S2:S89=1))</f>
        <v>3</v>
      </c>
      <c r="C26" s="10" t="n">
        <f aca="false">IF(SUM(Data!C2:C89)=0,0,B26/SUM(Data!C2:C89))</f>
        <v>0.0340909090909091</v>
      </c>
      <c r="D26" s="11" t="s">
        <v>117</v>
      </c>
    </row>
    <row r="27" customFormat="false" ht="15" hidden="false" customHeight="true" outlineLevel="0" collapsed="false">
      <c r="A27" s="9" t="s">
        <v>110</v>
      </c>
      <c r="B27" s="9" t="n">
        <f aca="false">SUMPRODUCT((Data!C2:C89=1)*(Data!R2:R89=0)*(Data!S2:S89=0))</f>
        <v>73</v>
      </c>
      <c r="C27" s="10" t="n">
        <f aca="false">IF(SUM(Data!C2:C89)=0,0,B27/SUM(Data!C2:C89))</f>
        <v>0.829545454545455</v>
      </c>
      <c r="D27" s="11" t="s">
        <v>111</v>
      </c>
    </row>
    <row r="28" customFormat="false" ht="15" hidden="false" customHeight="true" outlineLevel="0" collapsed="false">
      <c r="A28" s="22" t="s">
        <v>112</v>
      </c>
      <c r="B28" s="22" t="n">
        <f aca="false">B24+B25+B26</f>
        <v>15</v>
      </c>
    </row>
    <row r="29" customFormat="false" ht="15" hidden="false" customHeight="true" outlineLevel="0" collapsed="false">
      <c r="A29" s="12" t="s">
        <v>122</v>
      </c>
      <c r="B29" s="23" t="n">
        <f aca="false">IF(B28=0,0,B24/B28)</f>
        <v>0.8</v>
      </c>
    </row>
  </sheetData>
  <mergeCells count="5">
    <mergeCell ref="A1:D1"/>
    <mergeCell ref="A2:D2"/>
    <mergeCell ref="A4:D4"/>
    <mergeCell ref="A13:D13"/>
    <mergeCell ref="A22:D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17.25" hidden="false" customHeight="true" outlineLevel="0" collapsed="false">
      <c r="A1" s="2" t="s">
        <v>123</v>
      </c>
    </row>
    <row r="3" customFormat="false" ht="30" hidden="false" customHeight="true" outlineLevel="0" collapsed="false">
      <c r="A3" s="4" t="str">
        <f aca="false">"1. Bytecode resolution: "&amp;SUM(Data!C2:C89)&amp;" of "&amp;COUNTA(Data!A2:A89)&amp;" queried addresses ("&amp;TEXT(SUM(Data!C2:C89)/COUNTA(Data!A2:A89),"0.0%")&amp;") resolved to deployed bytecode; the rest are EOAs, unverified, or not found on-chain."</f>
        <v>1. Bytecode resolution: 88 of 88 queried addresses (100.0%) resolved to deployed bytecode; the rest are EOAs, unverified, or not found on-chain.</v>
      </c>
    </row>
    <row r="4" customFormat="false" ht="30" hidden="false" customHeight="true" outlineLevel="0" collapsed="false">
      <c r="A4" s="4" t="str">
        <f aca="false">"2. Detection coverage: only MAIAN, Mythril, Securify produced any detections. Integer, Delegatecall, Timestamp, Selfdestruct all show zero hits in this bytecode run."</f>
        <v>2. Detection coverage: only MAIAN, Mythril, Securify produced any detections. Integer, Delegatecall, Timestamp, Selfdestruct all show zero hits in this bytecode run.</v>
      </c>
    </row>
    <row r="5" customFormat="false" ht="30" hidden="false" customHeight="true" outlineLevel="0" collapsed="false">
      <c r="A5" s="4" t="str">
        <f aca="false">"3. Securify flag rate ("&amp;TEXT(Tool_Wise_Analysis!E6,"0.0%")&amp;") vs MAIAN flag rate ("&amp;TEXT(Tool_Wise_Analysis!E4,"0.0%")&amp;") among resolved contracts."</f>
        <v>3. Securify flag rate (17.0%) vs MAIAN flag rate (40.9%) among resolved contracts.</v>
      </c>
    </row>
    <row r="6" customFormat="false" ht="30" hidden="false" customHeight="true" outlineLevel="0" collapsed="false">
      <c r="A6" s="4" t="str">
        <f aca="false">"4. Tool overlap: Jaccard(MAIAN, Securify) = "&amp;TEXT(Agreement_Jaccard!B20,"0.0000")&amp;" — "&amp;Agreement_Jaccard!B15&amp;" contracts triggered both tools, "&amp;Agreement_Jaccard!B16&amp;" only MAIAN, "&amp;Agreement_Jaccard!B17&amp;" only Securify."</f>
        <v>4. Tool overlap: Jaccard(MAIAN, Securify) = 0.0851 — 4 contracts triggered both tools, 32 only MAIAN, 11 only Securify.</v>
      </c>
    </row>
    <row r="7" customFormat="false" ht="30" hidden="false" customHeight="true" outlineLevel="0" collapsed="false">
      <c r="A7" s="4" t="str">
        <f aca="false">"5. "&amp;Per_Vulnerability_Analysis!C15&amp;" of "&amp;Per_Vulnerability_Analysis!D15&amp;" resolved contracts ("&amp;TEXT(Per_Vulnerability_Analysis!C15/Per_Vulnerability_Analysis!D15,"0.0%")&amp;") were flagged by at least one tool."</f>
        <v>5. 47 of 88 resolved contracts (53.4%) were flagged by at least one tool.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5.75" hidden="false" customHeight="true" outlineLevel="0" collapsed="false">
      <c r="A1" s="24" t="s">
        <v>124</v>
      </c>
    </row>
    <row r="2" customFormat="false" ht="21.75" hidden="false" customHeight="true" outlineLevel="0" collapsed="false">
      <c r="A2" s="25" t="s">
        <v>125</v>
      </c>
    </row>
    <row r="4" customFormat="false" ht="15.75" hidden="false" customHeight="true" outlineLevel="0" collapsed="false">
      <c r="A4" s="26" t="s">
        <v>126</v>
      </c>
    </row>
    <row r="5" customFormat="false" ht="31.5" hidden="false" customHeight="true" outlineLevel="0" collapsed="false">
      <c r="A5" s="27" t="s">
        <v>127</v>
      </c>
    </row>
    <row r="7" customFormat="false" ht="15.75" hidden="false" customHeight="true" outlineLevel="0" collapsed="false">
      <c r="A7" s="26" t="s">
        <v>128</v>
      </c>
    </row>
    <row r="8" customFormat="false" ht="43.5" hidden="false" customHeight="true" outlineLevel="0" collapsed="false">
      <c r="A8" s="27" t="s">
        <v>129</v>
      </c>
    </row>
    <row r="9" customFormat="false" ht="48" hidden="false" customHeight="true" outlineLevel="0" collapsed="false">
      <c r="A9" s="27" t="s">
        <v>130</v>
      </c>
    </row>
    <row r="11" customFormat="false" ht="15.75" hidden="false" customHeight="true" outlineLevel="0" collapsed="false">
      <c r="A11" s="26" t="s">
        <v>131</v>
      </c>
    </row>
    <row r="12" customFormat="false" ht="48" hidden="false" customHeight="true" outlineLevel="0" collapsed="false">
      <c r="A12" s="27" t="s">
        <v>132</v>
      </c>
    </row>
    <row r="13" customFormat="false" ht="15.75" hidden="false" customHeight="true" outlineLevel="0" collapsed="false">
      <c r="A13" s="27" t="s">
        <v>133</v>
      </c>
    </row>
    <row r="15" customFormat="false" ht="15.75" hidden="false" customHeight="true" outlineLevel="0" collapsed="false">
      <c r="A15" s="28" t="s">
        <v>134</v>
      </c>
    </row>
    <row r="16" customFormat="false" ht="43.5" hidden="false" customHeight="true" outlineLevel="0" collapsed="false">
      <c r="A16" s="27" t="s">
        <v>135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2" min="2" style="1" width="24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15" min="5" style="1" width="12"/>
    <col collapsed="false" customWidth="true" hidden="false" outlineLevel="0" max="16" min="16" style="1" width="11"/>
    <col collapsed="false" customWidth="true" hidden="false" outlineLevel="0" max="19" min="17" style="1" width="13"/>
  </cols>
  <sheetData>
    <row r="1" customFormat="false" ht="15" hidden="false" customHeight="true" outlineLevel="0" collapsed="false">
      <c r="A1" s="16" t="s">
        <v>136</v>
      </c>
      <c r="B1" s="16" t="s">
        <v>93</v>
      </c>
      <c r="C1" s="16" t="s">
        <v>137</v>
      </c>
      <c r="D1" s="16" t="s">
        <v>138</v>
      </c>
      <c r="E1" s="16" t="s">
        <v>34</v>
      </c>
      <c r="F1" s="16" t="s">
        <v>37</v>
      </c>
      <c r="G1" s="16" t="s">
        <v>139</v>
      </c>
      <c r="H1" s="16" t="s">
        <v>41</v>
      </c>
      <c r="I1" s="16" t="s">
        <v>140</v>
      </c>
      <c r="J1" s="16" t="s">
        <v>43</v>
      </c>
      <c r="K1" s="16" t="s">
        <v>44</v>
      </c>
      <c r="L1" s="16" t="s">
        <v>45</v>
      </c>
      <c r="M1" s="16" t="s">
        <v>47</v>
      </c>
      <c r="N1" s="16" t="s">
        <v>141</v>
      </c>
      <c r="O1" s="16" t="s">
        <v>142</v>
      </c>
      <c r="P1" s="16" t="s">
        <v>143</v>
      </c>
      <c r="Q1" s="16" t="s">
        <v>144</v>
      </c>
      <c r="R1" s="16" t="s">
        <v>145</v>
      </c>
      <c r="S1" s="16" t="s">
        <v>146</v>
      </c>
    </row>
    <row r="2" customFormat="false" ht="15" hidden="false" customHeight="true" outlineLevel="0" collapsed="false">
      <c r="A2" s="9" t="s">
        <v>147</v>
      </c>
      <c r="B2" s="9" t="s">
        <v>97</v>
      </c>
      <c r="C2" s="9" t="n">
        <v>1</v>
      </c>
      <c r="D2" s="9" t="n">
        <v>127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 t="s">
        <v>148</v>
      </c>
      <c r="Q2" s="9" t="n">
        <v>0</v>
      </c>
      <c r="R2" s="9" t="n">
        <v>0</v>
      </c>
      <c r="S2" s="9" t="n">
        <v>0</v>
      </c>
    </row>
    <row r="3" customFormat="false" ht="15" hidden="false" customHeight="true" outlineLevel="0" collapsed="false">
      <c r="A3" s="9" t="s">
        <v>149</v>
      </c>
      <c r="B3" s="9" t="s">
        <v>97</v>
      </c>
      <c r="C3" s="9" t="n">
        <v>1</v>
      </c>
      <c r="D3" s="9" t="n">
        <v>297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 t="s">
        <v>148</v>
      </c>
      <c r="Q3" s="9" t="n">
        <v>0</v>
      </c>
      <c r="R3" s="9" t="n">
        <v>0</v>
      </c>
      <c r="S3" s="9" t="n">
        <v>0</v>
      </c>
    </row>
    <row r="4" customFormat="false" ht="15" hidden="false" customHeight="true" outlineLevel="0" collapsed="false">
      <c r="A4" s="9" t="s">
        <v>150</v>
      </c>
      <c r="B4" s="9" t="s">
        <v>97</v>
      </c>
      <c r="C4" s="9" t="n">
        <v>1</v>
      </c>
      <c r="D4" s="9" t="n">
        <v>297</v>
      </c>
      <c r="E4" s="9"/>
      <c r="F4" s="9"/>
      <c r="G4" s="9"/>
      <c r="H4" s="9"/>
      <c r="I4" s="9"/>
      <c r="J4" s="9"/>
      <c r="K4" s="9"/>
      <c r="L4" s="9"/>
      <c r="M4" s="9"/>
      <c r="N4" s="9"/>
      <c r="O4" s="9" t="s">
        <v>49</v>
      </c>
      <c r="P4" s="9" t="s">
        <v>151</v>
      </c>
      <c r="Q4" s="9" t="n">
        <v>1</v>
      </c>
      <c r="R4" s="9" t="n">
        <v>0</v>
      </c>
      <c r="S4" s="9" t="n">
        <v>0</v>
      </c>
    </row>
    <row r="5" customFormat="false" ht="15" hidden="false" customHeight="true" outlineLevel="0" collapsed="false">
      <c r="A5" s="9" t="s">
        <v>152</v>
      </c>
      <c r="B5" s="9" t="s">
        <v>97</v>
      </c>
      <c r="C5" s="9" t="n">
        <v>1</v>
      </c>
      <c r="D5" s="9" t="n">
        <v>271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 t="s">
        <v>148</v>
      </c>
      <c r="Q5" s="9" t="n">
        <v>0</v>
      </c>
      <c r="R5" s="9" t="n">
        <v>0</v>
      </c>
      <c r="S5" s="9" t="n">
        <v>0</v>
      </c>
    </row>
    <row r="6" customFormat="false" ht="15" hidden="false" customHeight="true" outlineLevel="0" collapsed="false">
      <c r="A6" s="9" t="s">
        <v>153</v>
      </c>
      <c r="B6" s="9" t="s">
        <v>97</v>
      </c>
      <c r="C6" s="9" t="n">
        <v>1</v>
      </c>
      <c r="D6" s="9" t="n">
        <v>2415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 t="s">
        <v>148</v>
      </c>
      <c r="Q6" s="9" t="n">
        <v>0</v>
      </c>
      <c r="R6" s="9" t="n">
        <v>0</v>
      </c>
      <c r="S6" s="9" t="n">
        <v>0</v>
      </c>
    </row>
    <row r="7" customFormat="false" ht="15" hidden="false" customHeight="true" outlineLevel="0" collapsed="false">
      <c r="A7" s="9" t="s">
        <v>154</v>
      </c>
      <c r="B7" s="9" t="s">
        <v>97</v>
      </c>
      <c r="C7" s="9" t="n">
        <v>1</v>
      </c>
      <c r="D7" s="9" t="n">
        <v>127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 t="s">
        <v>148</v>
      </c>
      <c r="Q7" s="9" t="n">
        <v>0</v>
      </c>
      <c r="R7" s="9" t="n">
        <v>0</v>
      </c>
      <c r="S7" s="9" t="n">
        <v>0</v>
      </c>
    </row>
    <row r="8" customFormat="false" ht="15" hidden="false" customHeight="true" outlineLevel="0" collapsed="false">
      <c r="A8" s="9" t="s">
        <v>155</v>
      </c>
      <c r="B8" s="9" t="s">
        <v>97</v>
      </c>
      <c r="C8" s="9" t="n">
        <v>1</v>
      </c>
      <c r="D8" s="9" t="n">
        <v>127</v>
      </c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 t="s">
        <v>148</v>
      </c>
      <c r="Q8" s="9" t="n">
        <v>0</v>
      </c>
      <c r="R8" s="9" t="n">
        <v>0</v>
      </c>
      <c r="S8" s="9" t="n">
        <v>0</v>
      </c>
    </row>
    <row r="9" customFormat="false" ht="15" hidden="false" customHeight="true" outlineLevel="0" collapsed="false">
      <c r="A9" s="9" t="s">
        <v>156</v>
      </c>
      <c r="B9" s="9" t="s">
        <v>97</v>
      </c>
      <c r="C9" s="9" t="n">
        <v>1</v>
      </c>
      <c r="D9" s="9" t="n">
        <v>26349</v>
      </c>
      <c r="E9" s="9"/>
      <c r="F9" s="9"/>
      <c r="G9" s="9"/>
      <c r="H9" s="9"/>
      <c r="I9" s="9"/>
      <c r="J9" s="9"/>
      <c r="K9" s="9"/>
      <c r="L9" s="9"/>
      <c r="M9" s="9"/>
      <c r="N9" s="9"/>
      <c r="O9" s="9" t="s">
        <v>49</v>
      </c>
      <c r="P9" s="9" t="s">
        <v>151</v>
      </c>
      <c r="Q9" s="9" t="n">
        <v>1</v>
      </c>
      <c r="R9" s="9" t="n">
        <v>0</v>
      </c>
      <c r="S9" s="9" t="n">
        <v>0</v>
      </c>
    </row>
    <row r="10" customFormat="false" ht="15" hidden="false" customHeight="true" outlineLevel="0" collapsed="false">
      <c r="A10" s="9" t="s">
        <v>157</v>
      </c>
      <c r="B10" s="9" t="s">
        <v>97</v>
      </c>
      <c r="C10" s="9" t="n">
        <v>1</v>
      </c>
      <c r="D10" s="9" t="n">
        <v>297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 t="s">
        <v>49</v>
      </c>
      <c r="P10" s="9" t="s">
        <v>151</v>
      </c>
      <c r="Q10" s="9" t="n">
        <v>1</v>
      </c>
      <c r="R10" s="9" t="n">
        <v>0</v>
      </c>
      <c r="S10" s="9" t="n">
        <v>0</v>
      </c>
    </row>
    <row r="11" customFormat="false" ht="15" hidden="false" customHeight="true" outlineLevel="0" collapsed="false">
      <c r="A11" s="9" t="s">
        <v>158</v>
      </c>
      <c r="B11" s="9" t="s">
        <v>97</v>
      </c>
      <c r="C11" s="9" t="n">
        <v>1</v>
      </c>
      <c r="D11" s="9" t="n">
        <v>1180</v>
      </c>
      <c r="E11" s="9" t="s">
        <v>35</v>
      </c>
      <c r="F11" s="9"/>
      <c r="G11" s="9" t="s">
        <v>35</v>
      </c>
      <c r="H11" s="9"/>
      <c r="I11" s="9" t="s">
        <v>35</v>
      </c>
      <c r="J11" s="9"/>
      <c r="K11" s="9" t="s">
        <v>35</v>
      </c>
      <c r="L11" s="9"/>
      <c r="M11" s="9"/>
      <c r="N11" s="9"/>
      <c r="O11" s="9"/>
      <c r="P11" s="9" t="s">
        <v>151</v>
      </c>
      <c r="Q11" s="9" t="n">
        <v>0</v>
      </c>
      <c r="R11" s="9" t="n">
        <v>0</v>
      </c>
      <c r="S11" s="9" t="n">
        <v>1</v>
      </c>
    </row>
    <row r="12" customFormat="false" ht="15" hidden="false" customHeight="true" outlineLevel="0" collapsed="false">
      <c r="A12" s="9" t="s">
        <v>159</v>
      </c>
      <c r="B12" s="9" t="s">
        <v>97</v>
      </c>
      <c r="C12" s="9" t="n">
        <v>1</v>
      </c>
      <c r="D12" s="9" t="n">
        <v>297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 t="s">
        <v>49</v>
      </c>
      <c r="P12" s="9" t="s">
        <v>151</v>
      </c>
      <c r="Q12" s="9" t="n">
        <v>1</v>
      </c>
      <c r="R12" s="9" t="n">
        <v>0</v>
      </c>
      <c r="S12" s="9" t="n">
        <v>0</v>
      </c>
    </row>
    <row r="13" customFormat="false" ht="15" hidden="false" customHeight="true" outlineLevel="0" collapsed="false">
      <c r="A13" s="9" t="s">
        <v>160</v>
      </c>
      <c r="B13" s="9" t="s">
        <v>97</v>
      </c>
      <c r="C13" s="9" t="n">
        <v>1</v>
      </c>
      <c r="D13" s="9" t="n">
        <v>298</v>
      </c>
      <c r="E13" s="9" t="s">
        <v>35</v>
      </c>
      <c r="F13" s="9"/>
      <c r="G13" s="9" t="s">
        <v>35</v>
      </c>
      <c r="H13" s="9"/>
      <c r="I13" s="9" t="s">
        <v>35</v>
      </c>
      <c r="J13" s="9"/>
      <c r="K13" s="9" t="s">
        <v>35</v>
      </c>
      <c r="L13" s="9" t="s">
        <v>46</v>
      </c>
      <c r="M13" s="9"/>
      <c r="N13" s="9"/>
      <c r="O13" s="9" t="s">
        <v>49</v>
      </c>
      <c r="P13" s="9" t="s">
        <v>151</v>
      </c>
      <c r="Q13" s="9" t="n">
        <v>1</v>
      </c>
      <c r="R13" s="9" t="n">
        <v>1</v>
      </c>
      <c r="S13" s="9" t="n">
        <v>1</v>
      </c>
    </row>
    <row r="14" customFormat="false" ht="15" hidden="false" customHeight="true" outlineLevel="0" collapsed="false">
      <c r="A14" s="9" t="s">
        <v>161</v>
      </c>
      <c r="B14" s="9" t="s">
        <v>97</v>
      </c>
      <c r="C14" s="9" t="n">
        <v>1</v>
      </c>
      <c r="D14" s="9" t="n">
        <v>1521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 t="s">
        <v>49</v>
      </c>
      <c r="P14" s="9" t="s">
        <v>151</v>
      </c>
      <c r="Q14" s="9" t="n">
        <v>1</v>
      </c>
      <c r="R14" s="9" t="n">
        <v>0</v>
      </c>
      <c r="S14" s="9" t="n">
        <v>0</v>
      </c>
    </row>
    <row r="15" customFormat="false" ht="15" hidden="false" customHeight="true" outlineLevel="0" collapsed="false">
      <c r="A15" s="9" t="s">
        <v>162</v>
      </c>
      <c r="B15" s="9" t="s">
        <v>97</v>
      </c>
      <c r="C15" s="9" t="n">
        <v>1</v>
      </c>
      <c r="D15" s="9" t="n">
        <v>806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 t="s">
        <v>49</v>
      </c>
      <c r="P15" s="9" t="s">
        <v>151</v>
      </c>
      <c r="Q15" s="9" t="n">
        <v>1</v>
      </c>
      <c r="R15" s="9" t="n">
        <v>0</v>
      </c>
      <c r="S15" s="9" t="n">
        <v>0</v>
      </c>
    </row>
    <row r="16" customFormat="false" ht="15" hidden="false" customHeight="true" outlineLevel="0" collapsed="false">
      <c r="A16" s="9" t="s">
        <v>163</v>
      </c>
      <c r="B16" s="9" t="s">
        <v>97</v>
      </c>
      <c r="C16" s="9" t="n">
        <v>1</v>
      </c>
      <c r="D16" s="9" t="n">
        <v>297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 t="s">
        <v>49</v>
      </c>
      <c r="P16" s="9" t="s">
        <v>151</v>
      </c>
      <c r="Q16" s="9" t="n">
        <v>1</v>
      </c>
      <c r="R16" s="9" t="n">
        <v>0</v>
      </c>
      <c r="S16" s="9" t="n">
        <v>0</v>
      </c>
    </row>
    <row r="17" customFormat="false" ht="15" hidden="false" customHeight="true" outlineLevel="0" collapsed="false">
      <c r="A17" s="9" t="s">
        <v>164</v>
      </c>
      <c r="B17" s="9" t="s">
        <v>97</v>
      </c>
      <c r="C17" s="9" t="n">
        <v>1</v>
      </c>
      <c r="D17" s="9" t="n">
        <v>1520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 t="s">
        <v>49</v>
      </c>
      <c r="P17" s="9" t="s">
        <v>151</v>
      </c>
      <c r="Q17" s="9" t="n">
        <v>1</v>
      </c>
      <c r="R17" s="9" t="n">
        <v>0</v>
      </c>
      <c r="S17" s="9" t="n">
        <v>0</v>
      </c>
    </row>
    <row r="18" customFormat="false" ht="15" hidden="false" customHeight="true" outlineLevel="0" collapsed="false">
      <c r="A18" s="9" t="s">
        <v>165</v>
      </c>
      <c r="B18" s="9" t="s">
        <v>97</v>
      </c>
      <c r="C18" s="9" t="n">
        <v>1</v>
      </c>
      <c r="D18" s="9" t="n">
        <v>1522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 t="s">
        <v>49</v>
      </c>
      <c r="P18" s="9" t="s">
        <v>151</v>
      </c>
      <c r="Q18" s="9" t="n">
        <v>1</v>
      </c>
      <c r="R18" s="9" t="n">
        <v>0</v>
      </c>
      <c r="S18" s="9" t="n">
        <v>0</v>
      </c>
    </row>
    <row r="19" customFormat="false" ht="15" hidden="false" customHeight="true" outlineLevel="0" collapsed="false">
      <c r="A19" s="9" t="s">
        <v>166</v>
      </c>
      <c r="B19" s="9" t="s">
        <v>97</v>
      </c>
      <c r="C19" s="9" t="n">
        <v>1</v>
      </c>
      <c r="D19" s="9" t="n">
        <v>737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 t="s">
        <v>49</v>
      </c>
      <c r="P19" s="9" t="s">
        <v>151</v>
      </c>
      <c r="Q19" s="9" t="n">
        <v>1</v>
      </c>
      <c r="R19" s="9" t="n">
        <v>0</v>
      </c>
      <c r="S19" s="9" t="n">
        <v>0</v>
      </c>
    </row>
    <row r="20" customFormat="false" ht="15" hidden="false" customHeight="true" outlineLevel="0" collapsed="false">
      <c r="A20" s="9" t="s">
        <v>167</v>
      </c>
      <c r="B20" s="9" t="s">
        <v>97</v>
      </c>
      <c r="C20" s="9" t="n">
        <v>1</v>
      </c>
      <c r="D20" s="9" t="n">
        <v>297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 t="s">
        <v>49</v>
      </c>
      <c r="P20" s="9" t="s">
        <v>151</v>
      </c>
      <c r="Q20" s="9" t="n">
        <v>1</v>
      </c>
      <c r="R20" s="9" t="n">
        <v>0</v>
      </c>
      <c r="S20" s="9" t="n">
        <v>0</v>
      </c>
    </row>
    <row r="21" customFormat="false" ht="15" hidden="false" customHeight="true" outlineLevel="0" collapsed="false">
      <c r="A21" s="9" t="s">
        <v>168</v>
      </c>
      <c r="B21" s="9" t="s">
        <v>97</v>
      </c>
      <c r="C21" s="9" t="n">
        <v>1</v>
      </c>
      <c r="D21" s="9" t="n">
        <v>575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 t="s">
        <v>148</v>
      </c>
      <c r="Q21" s="9" t="n">
        <v>0</v>
      </c>
      <c r="R21" s="9" t="n">
        <v>0</v>
      </c>
      <c r="S21" s="9" t="n">
        <v>0</v>
      </c>
    </row>
    <row r="22" customFormat="false" ht="15" hidden="false" customHeight="true" outlineLevel="0" collapsed="false">
      <c r="A22" s="9" t="s">
        <v>169</v>
      </c>
      <c r="B22" s="9" t="s">
        <v>97</v>
      </c>
      <c r="C22" s="9" t="n">
        <v>1</v>
      </c>
      <c r="D22" s="9" t="n">
        <v>297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 t="s">
        <v>148</v>
      </c>
      <c r="Q22" s="9" t="n">
        <v>0</v>
      </c>
      <c r="R22" s="9" t="n">
        <v>0</v>
      </c>
      <c r="S22" s="9" t="n">
        <v>0</v>
      </c>
    </row>
    <row r="23" customFormat="false" ht="15" hidden="false" customHeight="true" outlineLevel="0" collapsed="false">
      <c r="A23" s="9" t="s">
        <v>170</v>
      </c>
      <c r="B23" s="9" t="s">
        <v>97</v>
      </c>
      <c r="C23" s="9" t="n">
        <v>1</v>
      </c>
      <c r="D23" s="9" t="n">
        <v>298</v>
      </c>
      <c r="E23" s="9" t="s">
        <v>35</v>
      </c>
      <c r="F23" s="9"/>
      <c r="G23" s="9" t="s">
        <v>35</v>
      </c>
      <c r="H23" s="9"/>
      <c r="I23" s="9" t="s">
        <v>35</v>
      </c>
      <c r="J23" s="9"/>
      <c r="K23" s="9" t="s">
        <v>35</v>
      </c>
      <c r="L23" s="9" t="s">
        <v>46</v>
      </c>
      <c r="M23" s="9"/>
      <c r="N23" s="9"/>
      <c r="O23" s="9" t="s">
        <v>49</v>
      </c>
      <c r="P23" s="9" t="s">
        <v>151</v>
      </c>
      <c r="Q23" s="9" t="n">
        <v>1</v>
      </c>
      <c r="R23" s="9" t="n">
        <v>1</v>
      </c>
      <c r="S23" s="9" t="n">
        <v>1</v>
      </c>
    </row>
    <row r="24" customFormat="false" ht="15" hidden="false" customHeight="true" outlineLevel="0" collapsed="false">
      <c r="A24" s="9" t="s">
        <v>171</v>
      </c>
      <c r="B24" s="9" t="s">
        <v>97</v>
      </c>
      <c r="C24" s="9" t="n">
        <v>1</v>
      </c>
      <c r="D24" s="9" t="n">
        <v>1520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 t="s">
        <v>49</v>
      </c>
      <c r="P24" s="9" t="s">
        <v>151</v>
      </c>
      <c r="Q24" s="9" t="n">
        <v>1</v>
      </c>
      <c r="R24" s="9" t="n">
        <v>0</v>
      </c>
      <c r="S24" s="9" t="n">
        <v>0</v>
      </c>
    </row>
    <row r="25" customFormat="false" ht="15" hidden="false" customHeight="true" outlineLevel="0" collapsed="false">
      <c r="A25" s="9" t="s">
        <v>172</v>
      </c>
      <c r="B25" s="9" t="s">
        <v>97</v>
      </c>
      <c r="C25" s="9" t="n">
        <v>1</v>
      </c>
      <c r="D25" s="9" t="n">
        <v>127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 t="s">
        <v>148</v>
      </c>
      <c r="Q25" s="9" t="n">
        <v>0</v>
      </c>
      <c r="R25" s="9" t="n">
        <v>0</v>
      </c>
      <c r="S25" s="9" t="n">
        <v>0</v>
      </c>
    </row>
    <row r="26" customFormat="false" ht="15" hidden="false" customHeight="true" outlineLevel="0" collapsed="false">
      <c r="A26" s="9" t="s">
        <v>173</v>
      </c>
      <c r="B26" s="9" t="s">
        <v>97</v>
      </c>
      <c r="C26" s="9" t="n">
        <v>1</v>
      </c>
      <c r="D26" s="9" t="n">
        <v>297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 t="s">
        <v>148</v>
      </c>
      <c r="Q26" s="9" t="n">
        <v>0</v>
      </c>
      <c r="R26" s="9" t="n">
        <v>0</v>
      </c>
      <c r="S26" s="9" t="n">
        <v>0</v>
      </c>
    </row>
    <row r="27" customFormat="false" ht="15" hidden="false" customHeight="true" outlineLevel="0" collapsed="false">
      <c r="A27" s="9" t="s">
        <v>174</v>
      </c>
      <c r="B27" s="9" t="s">
        <v>97</v>
      </c>
      <c r="C27" s="9" t="n">
        <v>1</v>
      </c>
      <c r="D27" s="9" t="n">
        <v>1180</v>
      </c>
      <c r="E27" s="9" t="s">
        <v>35</v>
      </c>
      <c r="F27" s="9"/>
      <c r="G27" s="9" t="s">
        <v>35</v>
      </c>
      <c r="H27" s="9"/>
      <c r="I27" s="9" t="s">
        <v>35</v>
      </c>
      <c r="J27" s="9"/>
      <c r="K27" s="9" t="s">
        <v>35</v>
      </c>
      <c r="L27" s="9" t="s">
        <v>46</v>
      </c>
      <c r="M27" s="9"/>
      <c r="N27" s="9"/>
      <c r="O27" s="9"/>
      <c r="P27" s="9" t="s">
        <v>151</v>
      </c>
      <c r="Q27" s="9" t="n">
        <v>0</v>
      </c>
      <c r="R27" s="9" t="n">
        <v>1</v>
      </c>
      <c r="S27" s="9" t="n">
        <v>1</v>
      </c>
    </row>
    <row r="28" customFormat="false" ht="15" hidden="false" customHeight="true" outlineLevel="0" collapsed="false">
      <c r="A28" s="9" t="s">
        <v>175</v>
      </c>
      <c r="B28" s="9" t="s">
        <v>97</v>
      </c>
      <c r="C28" s="9" t="n">
        <v>1</v>
      </c>
      <c r="D28" s="9" t="n">
        <v>2494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 t="s">
        <v>49</v>
      </c>
      <c r="P28" s="9" t="s">
        <v>151</v>
      </c>
      <c r="Q28" s="9" t="n">
        <v>1</v>
      </c>
      <c r="R28" s="9" t="n">
        <v>0</v>
      </c>
      <c r="S28" s="9" t="n">
        <v>0</v>
      </c>
    </row>
    <row r="29" customFormat="false" ht="15" hidden="false" customHeight="true" outlineLevel="0" collapsed="false">
      <c r="A29" s="9" t="s">
        <v>176</v>
      </c>
      <c r="B29" s="9" t="s">
        <v>97</v>
      </c>
      <c r="C29" s="9" t="n">
        <v>1</v>
      </c>
      <c r="D29" s="9" t="n">
        <v>575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 t="s">
        <v>148</v>
      </c>
      <c r="Q29" s="9" t="n">
        <v>0</v>
      </c>
      <c r="R29" s="9" t="n">
        <v>0</v>
      </c>
      <c r="S29" s="9" t="n">
        <v>0</v>
      </c>
    </row>
    <row r="30" customFormat="false" ht="15" hidden="false" customHeight="true" outlineLevel="0" collapsed="false">
      <c r="A30" s="9" t="s">
        <v>177</v>
      </c>
      <c r="B30" s="9" t="s">
        <v>97</v>
      </c>
      <c r="C30" s="9" t="n">
        <v>1</v>
      </c>
      <c r="D30" s="9" t="n">
        <v>297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 t="s">
        <v>148</v>
      </c>
      <c r="Q30" s="9" t="n">
        <v>0</v>
      </c>
      <c r="R30" s="9" t="n">
        <v>0</v>
      </c>
      <c r="S30" s="9" t="n">
        <v>0</v>
      </c>
    </row>
    <row r="31" customFormat="false" ht="15" hidden="false" customHeight="true" outlineLevel="0" collapsed="false">
      <c r="A31" s="9" t="s">
        <v>178</v>
      </c>
      <c r="B31" s="9" t="s">
        <v>97</v>
      </c>
      <c r="C31" s="9" t="n">
        <v>1</v>
      </c>
      <c r="D31" s="9" t="n">
        <v>1180</v>
      </c>
      <c r="E31" s="9" t="s">
        <v>35</v>
      </c>
      <c r="F31" s="9"/>
      <c r="G31" s="9" t="s">
        <v>35</v>
      </c>
      <c r="H31" s="9"/>
      <c r="I31" s="9" t="s">
        <v>35</v>
      </c>
      <c r="J31" s="9"/>
      <c r="K31" s="9" t="s">
        <v>35</v>
      </c>
      <c r="L31" s="9" t="s">
        <v>46</v>
      </c>
      <c r="M31" s="9"/>
      <c r="N31" s="9"/>
      <c r="O31" s="9"/>
      <c r="P31" s="9" t="s">
        <v>151</v>
      </c>
      <c r="Q31" s="9" t="n">
        <v>0</v>
      </c>
      <c r="R31" s="9" t="n">
        <v>1</v>
      </c>
      <c r="S31" s="9" t="n">
        <v>1</v>
      </c>
    </row>
    <row r="32" customFormat="false" ht="15" hidden="false" customHeight="true" outlineLevel="0" collapsed="false">
      <c r="A32" s="9" t="s">
        <v>179</v>
      </c>
      <c r="B32" s="9" t="s">
        <v>97</v>
      </c>
      <c r="C32" s="9" t="n">
        <v>1</v>
      </c>
      <c r="D32" s="9" t="n">
        <v>127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 t="s">
        <v>148</v>
      </c>
      <c r="Q32" s="9" t="n">
        <v>0</v>
      </c>
      <c r="R32" s="9" t="n">
        <v>0</v>
      </c>
      <c r="S32" s="9" t="n">
        <v>0</v>
      </c>
    </row>
    <row r="33" customFormat="false" ht="15" hidden="false" customHeight="true" outlineLevel="0" collapsed="false">
      <c r="A33" s="9" t="s">
        <v>180</v>
      </c>
      <c r="B33" s="9" t="s">
        <v>97</v>
      </c>
      <c r="C33" s="9" t="n">
        <v>1</v>
      </c>
      <c r="D33" s="9" t="n">
        <v>1180</v>
      </c>
      <c r="E33" s="9" t="s">
        <v>35</v>
      </c>
      <c r="F33" s="9"/>
      <c r="G33" s="9" t="s">
        <v>35</v>
      </c>
      <c r="H33" s="9"/>
      <c r="I33" s="9" t="s">
        <v>35</v>
      </c>
      <c r="J33" s="9"/>
      <c r="K33" s="9" t="s">
        <v>35</v>
      </c>
      <c r="L33" s="9"/>
      <c r="M33" s="9"/>
      <c r="N33" s="9"/>
      <c r="O33" s="9"/>
      <c r="P33" s="9" t="s">
        <v>151</v>
      </c>
      <c r="Q33" s="9" t="n">
        <v>0</v>
      </c>
      <c r="R33" s="9" t="n">
        <v>0</v>
      </c>
      <c r="S33" s="9" t="n">
        <v>1</v>
      </c>
    </row>
    <row r="34" customFormat="false" ht="15" hidden="false" customHeight="true" outlineLevel="0" collapsed="false">
      <c r="A34" s="9" t="s">
        <v>181</v>
      </c>
      <c r="B34" s="9" t="s">
        <v>97</v>
      </c>
      <c r="C34" s="9" t="n">
        <v>1</v>
      </c>
      <c r="D34" s="9" t="n">
        <v>1520</v>
      </c>
      <c r="E34" s="9"/>
      <c r="F34" s="9"/>
      <c r="G34" s="9"/>
      <c r="H34" s="9"/>
      <c r="I34" s="9"/>
      <c r="J34" s="9"/>
      <c r="K34" s="9"/>
      <c r="L34" s="9"/>
      <c r="M34" s="9"/>
      <c r="N34" s="9"/>
      <c r="O34" s="9" t="s">
        <v>49</v>
      </c>
      <c r="P34" s="9" t="s">
        <v>151</v>
      </c>
      <c r="Q34" s="9" t="n">
        <v>1</v>
      </c>
      <c r="R34" s="9" t="n">
        <v>0</v>
      </c>
      <c r="S34" s="9" t="n">
        <v>0</v>
      </c>
    </row>
    <row r="35" customFormat="false" ht="15" hidden="false" customHeight="true" outlineLevel="0" collapsed="false">
      <c r="A35" s="9" t="s">
        <v>182</v>
      </c>
      <c r="B35" s="9" t="s">
        <v>97</v>
      </c>
      <c r="C35" s="9" t="n">
        <v>1</v>
      </c>
      <c r="D35" s="9" t="n">
        <v>1180</v>
      </c>
      <c r="E35" s="9" t="s">
        <v>35</v>
      </c>
      <c r="F35" s="9"/>
      <c r="G35" s="9" t="s">
        <v>35</v>
      </c>
      <c r="H35" s="9"/>
      <c r="I35" s="9" t="s">
        <v>35</v>
      </c>
      <c r="J35" s="9"/>
      <c r="K35" s="9" t="s">
        <v>35</v>
      </c>
      <c r="L35" s="9" t="s">
        <v>46</v>
      </c>
      <c r="M35" s="9"/>
      <c r="N35" s="9"/>
      <c r="O35" s="9"/>
      <c r="P35" s="9" t="s">
        <v>151</v>
      </c>
      <c r="Q35" s="9" t="n">
        <v>0</v>
      </c>
      <c r="R35" s="9" t="n">
        <v>1</v>
      </c>
      <c r="S35" s="9" t="n">
        <v>1</v>
      </c>
    </row>
    <row r="36" customFormat="false" ht="15" hidden="false" customHeight="true" outlineLevel="0" collapsed="false">
      <c r="A36" s="9" t="s">
        <v>183</v>
      </c>
      <c r="B36" s="9" t="s">
        <v>97</v>
      </c>
      <c r="C36" s="9" t="n">
        <v>1</v>
      </c>
      <c r="D36" s="9" t="n">
        <v>298</v>
      </c>
      <c r="E36" s="9" t="s">
        <v>35</v>
      </c>
      <c r="F36" s="9"/>
      <c r="G36" s="9" t="s">
        <v>35</v>
      </c>
      <c r="H36" s="9"/>
      <c r="I36" s="9" t="s">
        <v>35</v>
      </c>
      <c r="J36" s="9"/>
      <c r="K36" s="9" t="s">
        <v>35</v>
      </c>
      <c r="L36" s="9" t="s">
        <v>46</v>
      </c>
      <c r="M36" s="9"/>
      <c r="N36" s="9"/>
      <c r="O36" s="9" t="s">
        <v>49</v>
      </c>
      <c r="P36" s="9" t="s">
        <v>151</v>
      </c>
      <c r="Q36" s="9" t="n">
        <v>1</v>
      </c>
      <c r="R36" s="9" t="n">
        <v>1</v>
      </c>
      <c r="S36" s="9" t="n">
        <v>1</v>
      </c>
    </row>
    <row r="37" customFormat="false" ht="15" hidden="false" customHeight="true" outlineLevel="0" collapsed="false">
      <c r="A37" s="9" t="s">
        <v>184</v>
      </c>
      <c r="B37" s="9" t="s">
        <v>97</v>
      </c>
      <c r="C37" s="9" t="n">
        <v>1</v>
      </c>
      <c r="D37" s="9" t="n">
        <v>297</v>
      </c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 t="s">
        <v>148</v>
      </c>
      <c r="Q37" s="9" t="n">
        <v>0</v>
      </c>
      <c r="R37" s="9" t="n">
        <v>0</v>
      </c>
      <c r="S37" s="9" t="n">
        <v>0</v>
      </c>
    </row>
    <row r="38" customFormat="false" ht="15" hidden="false" customHeight="true" outlineLevel="0" collapsed="false">
      <c r="A38" s="9" t="s">
        <v>185</v>
      </c>
      <c r="B38" s="9" t="s">
        <v>97</v>
      </c>
      <c r="C38" s="9" t="n">
        <v>1</v>
      </c>
      <c r="D38" s="9" t="n">
        <v>271</v>
      </c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 t="s">
        <v>148</v>
      </c>
      <c r="Q38" s="9" t="n">
        <v>0</v>
      </c>
      <c r="R38" s="9" t="n">
        <v>0</v>
      </c>
      <c r="S38" s="9" t="n">
        <v>0</v>
      </c>
    </row>
    <row r="39" customFormat="false" ht="15" hidden="false" customHeight="true" outlineLevel="0" collapsed="false">
      <c r="A39" s="9" t="s">
        <v>186</v>
      </c>
      <c r="B39" s="9" t="s">
        <v>97</v>
      </c>
      <c r="C39" s="9" t="n">
        <v>1</v>
      </c>
      <c r="D39" s="9" t="n">
        <v>297</v>
      </c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 t="s">
        <v>148</v>
      </c>
      <c r="Q39" s="9" t="n">
        <v>0</v>
      </c>
      <c r="R39" s="9" t="n">
        <v>0</v>
      </c>
      <c r="S39" s="9" t="n">
        <v>0</v>
      </c>
    </row>
    <row r="40" customFormat="false" ht="15" hidden="false" customHeight="true" outlineLevel="0" collapsed="false">
      <c r="A40" s="9" t="s">
        <v>187</v>
      </c>
      <c r="B40" s="9" t="s">
        <v>97</v>
      </c>
      <c r="C40" s="9" t="n">
        <v>1</v>
      </c>
      <c r="D40" s="9" t="n">
        <v>297</v>
      </c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 t="s">
        <v>148</v>
      </c>
      <c r="Q40" s="9" t="n">
        <v>0</v>
      </c>
      <c r="R40" s="9" t="n">
        <v>0</v>
      </c>
      <c r="S40" s="9" t="n">
        <v>0</v>
      </c>
    </row>
    <row r="41" customFormat="false" ht="15" hidden="false" customHeight="true" outlineLevel="0" collapsed="false">
      <c r="A41" s="9" t="s">
        <v>188</v>
      </c>
      <c r="B41" s="9" t="s">
        <v>97</v>
      </c>
      <c r="C41" s="9" t="n">
        <v>1</v>
      </c>
      <c r="D41" s="9" t="n">
        <v>297</v>
      </c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 t="s">
        <v>148</v>
      </c>
      <c r="Q41" s="9" t="n">
        <v>0</v>
      </c>
      <c r="R41" s="9" t="n">
        <v>0</v>
      </c>
      <c r="S41" s="9" t="n">
        <v>0</v>
      </c>
    </row>
    <row r="42" customFormat="false" ht="15" hidden="false" customHeight="true" outlineLevel="0" collapsed="false">
      <c r="A42" s="9" t="s">
        <v>189</v>
      </c>
      <c r="B42" s="9" t="s">
        <v>97</v>
      </c>
      <c r="C42" s="9" t="n">
        <v>1</v>
      </c>
      <c r="D42" s="9" t="n">
        <v>271</v>
      </c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 t="s">
        <v>148</v>
      </c>
      <c r="Q42" s="9" t="n">
        <v>0</v>
      </c>
      <c r="R42" s="9" t="n">
        <v>0</v>
      </c>
      <c r="S42" s="9" t="n">
        <v>0</v>
      </c>
    </row>
    <row r="43" customFormat="false" ht="15" hidden="false" customHeight="true" outlineLevel="0" collapsed="false">
      <c r="A43" s="9" t="s">
        <v>190</v>
      </c>
      <c r="B43" s="9" t="s">
        <v>97</v>
      </c>
      <c r="C43" s="9" t="n">
        <v>1</v>
      </c>
      <c r="D43" s="9" t="n">
        <v>297</v>
      </c>
      <c r="E43" s="9"/>
      <c r="F43" s="9"/>
      <c r="G43" s="9"/>
      <c r="H43" s="9"/>
      <c r="I43" s="9"/>
      <c r="J43" s="9"/>
      <c r="K43" s="9"/>
      <c r="L43" s="9"/>
      <c r="M43" s="9"/>
      <c r="N43" s="9"/>
      <c r="O43" s="9" t="s">
        <v>49</v>
      </c>
      <c r="P43" s="9" t="s">
        <v>151</v>
      </c>
      <c r="Q43" s="9" t="n">
        <v>1</v>
      </c>
      <c r="R43" s="9" t="n">
        <v>0</v>
      </c>
      <c r="S43" s="9" t="n">
        <v>0</v>
      </c>
    </row>
    <row r="44" customFormat="false" ht="15" hidden="false" customHeight="true" outlineLevel="0" collapsed="false">
      <c r="A44" s="9" t="s">
        <v>191</v>
      </c>
      <c r="B44" s="9" t="s">
        <v>97</v>
      </c>
      <c r="C44" s="9" t="n">
        <v>1</v>
      </c>
      <c r="D44" s="9" t="n">
        <v>1522</v>
      </c>
      <c r="E44" s="9"/>
      <c r="F44" s="9"/>
      <c r="G44" s="9"/>
      <c r="H44" s="9"/>
      <c r="I44" s="9"/>
      <c r="J44" s="9"/>
      <c r="K44" s="9"/>
      <c r="L44" s="9"/>
      <c r="M44" s="9"/>
      <c r="N44" s="9"/>
      <c r="O44" s="9" t="s">
        <v>49</v>
      </c>
      <c r="P44" s="9" t="s">
        <v>151</v>
      </c>
      <c r="Q44" s="9" t="n">
        <v>1</v>
      </c>
      <c r="R44" s="9" t="n">
        <v>0</v>
      </c>
      <c r="S44" s="9" t="n">
        <v>0</v>
      </c>
    </row>
    <row r="45" customFormat="false" ht="15" hidden="false" customHeight="true" outlineLevel="0" collapsed="false">
      <c r="A45" s="9" t="s">
        <v>192</v>
      </c>
      <c r="B45" s="9" t="s">
        <v>97</v>
      </c>
      <c r="C45" s="9" t="n">
        <v>1</v>
      </c>
      <c r="D45" s="9" t="n">
        <v>127</v>
      </c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 t="s">
        <v>148</v>
      </c>
      <c r="Q45" s="9" t="n">
        <v>0</v>
      </c>
      <c r="R45" s="9" t="n">
        <v>0</v>
      </c>
      <c r="S45" s="9" t="n">
        <v>0</v>
      </c>
    </row>
    <row r="46" customFormat="false" ht="15" hidden="false" customHeight="true" outlineLevel="0" collapsed="false">
      <c r="A46" s="9" t="s">
        <v>193</v>
      </c>
      <c r="B46" s="9" t="s">
        <v>97</v>
      </c>
      <c r="C46" s="9" t="n">
        <v>1</v>
      </c>
      <c r="D46" s="9" t="n">
        <v>1180</v>
      </c>
      <c r="E46" s="9" t="s">
        <v>35</v>
      </c>
      <c r="F46" s="9"/>
      <c r="G46" s="9" t="s">
        <v>35</v>
      </c>
      <c r="H46" s="9"/>
      <c r="I46" s="9" t="s">
        <v>35</v>
      </c>
      <c r="J46" s="9"/>
      <c r="K46" s="9" t="s">
        <v>35</v>
      </c>
      <c r="L46" s="9" t="s">
        <v>46</v>
      </c>
      <c r="M46" s="9"/>
      <c r="N46" s="9"/>
      <c r="O46" s="9"/>
      <c r="P46" s="9" t="s">
        <v>151</v>
      </c>
      <c r="Q46" s="9" t="n">
        <v>0</v>
      </c>
      <c r="R46" s="9" t="n">
        <v>1</v>
      </c>
      <c r="S46" s="9" t="n">
        <v>1</v>
      </c>
    </row>
    <row r="47" customFormat="false" ht="15" hidden="false" customHeight="true" outlineLevel="0" collapsed="false">
      <c r="A47" s="9" t="s">
        <v>194</v>
      </c>
      <c r="B47" s="9" t="s">
        <v>97</v>
      </c>
      <c r="C47" s="9" t="n">
        <v>1</v>
      </c>
      <c r="D47" s="9" t="n">
        <v>297</v>
      </c>
      <c r="E47" s="9"/>
      <c r="F47" s="9"/>
      <c r="G47" s="9"/>
      <c r="H47" s="9"/>
      <c r="I47" s="9"/>
      <c r="J47" s="9"/>
      <c r="K47" s="9"/>
      <c r="L47" s="9"/>
      <c r="M47" s="9"/>
      <c r="N47" s="9"/>
      <c r="O47" s="9" t="s">
        <v>49</v>
      </c>
      <c r="P47" s="9" t="s">
        <v>151</v>
      </c>
      <c r="Q47" s="9" t="n">
        <v>1</v>
      </c>
      <c r="R47" s="9" t="n">
        <v>0</v>
      </c>
      <c r="S47" s="9" t="n">
        <v>0</v>
      </c>
    </row>
    <row r="48" customFormat="false" ht="15" hidden="false" customHeight="true" outlineLevel="0" collapsed="false">
      <c r="A48" s="9" t="s">
        <v>195</v>
      </c>
      <c r="B48" s="9" t="s">
        <v>97</v>
      </c>
      <c r="C48" s="9" t="n">
        <v>1</v>
      </c>
      <c r="D48" s="9" t="n">
        <v>1522</v>
      </c>
      <c r="E48" s="9"/>
      <c r="F48" s="9"/>
      <c r="G48" s="9"/>
      <c r="H48" s="9"/>
      <c r="I48" s="9"/>
      <c r="J48" s="9"/>
      <c r="K48" s="9"/>
      <c r="L48" s="9"/>
      <c r="M48" s="9"/>
      <c r="N48" s="9"/>
      <c r="O48" s="9" t="s">
        <v>49</v>
      </c>
      <c r="P48" s="9" t="s">
        <v>151</v>
      </c>
      <c r="Q48" s="9" t="n">
        <v>1</v>
      </c>
      <c r="R48" s="9" t="n">
        <v>0</v>
      </c>
      <c r="S48" s="9" t="n">
        <v>0</v>
      </c>
    </row>
    <row r="49" customFormat="false" ht="15" hidden="false" customHeight="true" outlineLevel="0" collapsed="false">
      <c r="A49" s="9" t="s">
        <v>196</v>
      </c>
      <c r="B49" s="9" t="s">
        <v>97</v>
      </c>
      <c r="C49" s="9" t="n">
        <v>1</v>
      </c>
      <c r="D49" s="9" t="n">
        <v>1522</v>
      </c>
      <c r="E49" s="9"/>
      <c r="F49" s="9"/>
      <c r="G49" s="9"/>
      <c r="H49" s="9"/>
      <c r="I49" s="9"/>
      <c r="J49" s="9"/>
      <c r="K49" s="9"/>
      <c r="L49" s="9"/>
      <c r="M49" s="9"/>
      <c r="N49" s="9"/>
      <c r="O49" s="9" t="s">
        <v>49</v>
      </c>
      <c r="P49" s="9" t="s">
        <v>151</v>
      </c>
      <c r="Q49" s="9" t="n">
        <v>1</v>
      </c>
      <c r="R49" s="9" t="n">
        <v>0</v>
      </c>
      <c r="S49" s="9" t="n">
        <v>0</v>
      </c>
    </row>
    <row r="50" customFormat="false" ht="15" hidden="false" customHeight="true" outlineLevel="0" collapsed="false">
      <c r="A50" s="9" t="s">
        <v>197</v>
      </c>
      <c r="B50" s="9" t="s">
        <v>97</v>
      </c>
      <c r="C50" s="9" t="n">
        <v>1</v>
      </c>
      <c r="D50" s="9" t="n">
        <v>127</v>
      </c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 t="s">
        <v>148</v>
      </c>
      <c r="Q50" s="9" t="n">
        <v>0</v>
      </c>
      <c r="R50" s="9" t="n">
        <v>0</v>
      </c>
      <c r="S50" s="9" t="n">
        <v>0</v>
      </c>
    </row>
    <row r="51" customFormat="false" ht="15" hidden="false" customHeight="true" outlineLevel="0" collapsed="false">
      <c r="A51" s="9" t="s">
        <v>198</v>
      </c>
      <c r="B51" s="9" t="s">
        <v>97</v>
      </c>
      <c r="C51" s="9" t="n">
        <v>1</v>
      </c>
      <c r="D51" s="9" t="n">
        <v>1522</v>
      </c>
      <c r="E51" s="9"/>
      <c r="F51" s="9"/>
      <c r="G51" s="9"/>
      <c r="H51" s="9"/>
      <c r="I51" s="9"/>
      <c r="J51" s="9"/>
      <c r="K51" s="9"/>
      <c r="L51" s="9"/>
      <c r="M51" s="9"/>
      <c r="N51" s="9"/>
      <c r="O51" s="9" t="s">
        <v>49</v>
      </c>
      <c r="P51" s="9" t="s">
        <v>151</v>
      </c>
      <c r="Q51" s="9" t="n">
        <v>1</v>
      </c>
      <c r="R51" s="9" t="n">
        <v>0</v>
      </c>
      <c r="S51" s="9" t="n">
        <v>0</v>
      </c>
    </row>
    <row r="52" customFormat="false" ht="15" hidden="false" customHeight="true" outlineLevel="0" collapsed="false">
      <c r="A52" s="9" t="s">
        <v>199</v>
      </c>
      <c r="B52" s="9" t="s">
        <v>97</v>
      </c>
      <c r="C52" s="9" t="n">
        <v>1</v>
      </c>
      <c r="D52" s="9" t="n">
        <v>577</v>
      </c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 t="s">
        <v>148</v>
      </c>
      <c r="Q52" s="9" t="n">
        <v>0</v>
      </c>
      <c r="R52" s="9" t="n">
        <v>0</v>
      </c>
      <c r="S52" s="9" t="n">
        <v>0</v>
      </c>
    </row>
    <row r="53" customFormat="false" ht="15" hidden="false" customHeight="true" outlineLevel="0" collapsed="false">
      <c r="A53" s="9" t="s">
        <v>200</v>
      </c>
      <c r="B53" s="9" t="s">
        <v>97</v>
      </c>
      <c r="C53" s="9" t="n">
        <v>1</v>
      </c>
      <c r="D53" s="9" t="n">
        <v>127</v>
      </c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 t="s">
        <v>148</v>
      </c>
      <c r="Q53" s="9" t="n">
        <v>0</v>
      </c>
      <c r="R53" s="9" t="n">
        <v>0</v>
      </c>
      <c r="S53" s="9" t="n">
        <v>0</v>
      </c>
    </row>
    <row r="54" customFormat="false" ht="15" hidden="false" customHeight="true" outlineLevel="0" collapsed="false">
      <c r="A54" s="9" t="s">
        <v>201</v>
      </c>
      <c r="B54" s="9" t="s">
        <v>97</v>
      </c>
      <c r="C54" s="9" t="n">
        <v>1</v>
      </c>
      <c r="D54" s="9" t="n">
        <v>298</v>
      </c>
      <c r="E54" s="9" t="s">
        <v>35</v>
      </c>
      <c r="F54" s="9"/>
      <c r="G54" s="9" t="s">
        <v>35</v>
      </c>
      <c r="H54" s="9"/>
      <c r="I54" s="9" t="s">
        <v>35</v>
      </c>
      <c r="J54" s="9"/>
      <c r="K54" s="9" t="s">
        <v>35</v>
      </c>
      <c r="L54" s="9" t="s">
        <v>46</v>
      </c>
      <c r="M54" s="9"/>
      <c r="N54" s="9"/>
      <c r="O54" s="9" t="s">
        <v>49</v>
      </c>
      <c r="P54" s="9" t="s">
        <v>151</v>
      </c>
      <c r="Q54" s="9" t="n">
        <v>1</v>
      </c>
      <c r="R54" s="9" t="n">
        <v>1</v>
      </c>
      <c r="S54" s="9" t="n">
        <v>1</v>
      </c>
    </row>
    <row r="55" customFormat="false" ht="15" hidden="false" customHeight="true" outlineLevel="0" collapsed="false">
      <c r="A55" s="9" t="s">
        <v>202</v>
      </c>
      <c r="B55" s="9" t="s">
        <v>97</v>
      </c>
      <c r="C55" s="9" t="n">
        <v>1</v>
      </c>
      <c r="D55" s="9" t="n">
        <v>297</v>
      </c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 t="s">
        <v>148</v>
      </c>
      <c r="Q55" s="9" t="n">
        <v>0</v>
      </c>
      <c r="R55" s="9" t="n">
        <v>0</v>
      </c>
      <c r="S55" s="9" t="n">
        <v>0</v>
      </c>
    </row>
    <row r="56" customFormat="false" ht="15" hidden="false" customHeight="true" outlineLevel="0" collapsed="false">
      <c r="A56" s="9" t="s">
        <v>203</v>
      </c>
      <c r="B56" s="9" t="s">
        <v>97</v>
      </c>
      <c r="C56" s="9" t="n">
        <v>1</v>
      </c>
      <c r="D56" s="9" t="n">
        <v>1522</v>
      </c>
      <c r="E56" s="9"/>
      <c r="F56" s="9"/>
      <c r="G56" s="9"/>
      <c r="H56" s="9"/>
      <c r="I56" s="9"/>
      <c r="J56" s="9"/>
      <c r="K56" s="9"/>
      <c r="L56" s="9"/>
      <c r="M56" s="9"/>
      <c r="N56" s="9"/>
      <c r="O56" s="9" t="s">
        <v>49</v>
      </c>
      <c r="P56" s="9" t="s">
        <v>151</v>
      </c>
      <c r="Q56" s="9" t="n">
        <v>1</v>
      </c>
      <c r="R56" s="9" t="n">
        <v>0</v>
      </c>
      <c r="S56" s="9" t="n">
        <v>0</v>
      </c>
    </row>
    <row r="57" customFormat="false" ht="15" hidden="false" customHeight="true" outlineLevel="0" collapsed="false">
      <c r="A57" s="9" t="s">
        <v>204</v>
      </c>
      <c r="B57" s="9" t="s">
        <v>97</v>
      </c>
      <c r="C57" s="9" t="n">
        <v>1</v>
      </c>
      <c r="D57" s="9" t="n">
        <v>577</v>
      </c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 t="s">
        <v>148</v>
      </c>
      <c r="Q57" s="9" t="n">
        <v>0</v>
      </c>
      <c r="R57" s="9" t="n">
        <v>0</v>
      </c>
      <c r="S57" s="9" t="n">
        <v>0</v>
      </c>
    </row>
    <row r="58" customFormat="false" ht="15" hidden="false" customHeight="true" outlineLevel="0" collapsed="false">
      <c r="A58" s="9" t="s">
        <v>205</v>
      </c>
      <c r="B58" s="9" t="s">
        <v>97</v>
      </c>
      <c r="C58" s="9" t="n">
        <v>1</v>
      </c>
      <c r="D58" s="9" t="n">
        <v>575</v>
      </c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 t="s">
        <v>148</v>
      </c>
      <c r="Q58" s="9" t="n">
        <v>0</v>
      </c>
      <c r="R58" s="9" t="n">
        <v>0</v>
      </c>
      <c r="S58" s="9" t="n">
        <v>0</v>
      </c>
    </row>
    <row r="59" customFormat="false" ht="15" hidden="false" customHeight="true" outlineLevel="0" collapsed="false">
      <c r="A59" s="9" t="s">
        <v>206</v>
      </c>
      <c r="B59" s="9" t="s">
        <v>97</v>
      </c>
      <c r="C59" s="9" t="n">
        <v>1</v>
      </c>
      <c r="D59" s="9" t="n">
        <v>576</v>
      </c>
      <c r="E59" s="9"/>
      <c r="F59" s="9"/>
      <c r="G59" s="9"/>
      <c r="H59" s="9"/>
      <c r="I59" s="9"/>
      <c r="J59" s="9"/>
      <c r="K59" s="9"/>
      <c r="L59" s="9"/>
      <c r="M59" s="9"/>
      <c r="N59" s="9"/>
      <c r="O59" s="9" t="s">
        <v>49</v>
      </c>
      <c r="P59" s="9" t="s">
        <v>151</v>
      </c>
      <c r="Q59" s="9" t="n">
        <v>1</v>
      </c>
      <c r="R59" s="9" t="n">
        <v>0</v>
      </c>
      <c r="S59" s="9" t="n">
        <v>0</v>
      </c>
    </row>
    <row r="60" customFormat="false" ht="15" hidden="false" customHeight="true" outlineLevel="0" collapsed="false">
      <c r="A60" s="9" t="s">
        <v>207</v>
      </c>
      <c r="B60" s="9" t="s">
        <v>97</v>
      </c>
      <c r="C60" s="9" t="n">
        <v>1</v>
      </c>
      <c r="D60" s="9" t="n">
        <v>1180</v>
      </c>
      <c r="E60" s="9" t="s">
        <v>35</v>
      </c>
      <c r="F60" s="9"/>
      <c r="G60" s="9" t="s">
        <v>35</v>
      </c>
      <c r="H60" s="9"/>
      <c r="I60" s="9" t="s">
        <v>35</v>
      </c>
      <c r="J60" s="9"/>
      <c r="K60" s="9" t="s">
        <v>35</v>
      </c>
      <c r="L60" s="9" t="s">
        <v>46</v>
      </c>
      <c r="M60" s="9"/>
      <c r="N60" s="9"/>
      <c r="O60" s="9"/>
      <c r="P60" s="9" t="s">
        <v>151</v>
      </c>
      <c r="Q60" s="9" t="n">
        <v>0</v>
      </c>
      <c r="R60" s="9" t="n">
        <v>1</v>
      </c>
      <c r="S60" s="9" t="n">
        <v>1</v>
      </c>
    </row>
    <row r="61" customFormat="false" ht="15" hidden="false" customHeight="true" outlineLevel="0" collapsed="false">
      <c r="A61" s="9" t="s">
        <v>208</v>
      </c>
      <c r="B61" s="9" t="s">
        <v>97</v>
      </c>
      <c r="C61" s="9" t="n">
        <v>1</v>
      </c>
      <c r="D61" s="9" t="n">
        <v>297</v>
      </c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 t="s">
        <v>148</v>
      </c>
      <c r="Q61" s="9" t="n">
        <v>0</v>
      </c>
      <c r="R61" s="9" t="n">
        <v>0</v>
      </c>
      <c r="S61" s="9" t="n">
        <v>0</v>
      </c>
    </row>
    <row r="62" customFormat="false" ht="15" hidden="false" customHeight="true" outlineLevel="0" collapsed="false">
      <c r="A62" s="9" t="s">
        <v>209</v>
      </c>
      <c r="B62" s="9" t="s">
        <v>97</v>
      </c>
      <c r="C62" s="9" t="n">
        <v>1</v>
      </c>
      <c r="D62" s="9" t="n">
        <v>1522</v>
      </c>
      <c r="E62" s="9"/>
      <c r="F62" s="9"/>
      <c r="G62" s="9"/>
      <c r="H62" s="9"/>
      <c r="I62" s="9"/>
      <c r="J62" s="9"/>
      <c r="K62" s="9"/>
      <c r="L62" s="9"/>
      <c r="M62" s="9"/>
      <c r="N62" s="9"/>
      <c r="O62" s="9" t="s">
        <v>49</v>
      </c>
      <c r="P62" s="9" t="s">
        <v>151</v>
      </c>
      <c r="Q62" s="9" t="n">
        <v>1</v>
      </c>
      <c r="R62" s="9" t="n">
        <v>0</v>
      </c>
      <c r="S62" s="9" t="n">
        <v>0</v>
      </c>
    </row>
    <row r="63" customFormat="false" ht="15" hidden="false" customHeight="true" outlineLevel="0" collapsed="false">
      <c r="A63" s="9" t="s">
        <v>210</v>
      </c>
      <c r="B63" s="9" t="s">
        <v>97</v>
      </c>
      <c r="C63" s="9" t="n">
        <v>1</v>
      </c>
      <c r="D63" s="9" t="n">
        <v>575</v>
      </c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 t="s">
        <v>148</v>
      </c>
      <c r="Q63" s="9" t="n">
        <v>0</v>
      </c>
      <c r="R63" s="9" t="n">
        <v>0</v>
      </c>
      <c r="S63" s="9" t="n">
        <v>0</v>
      </c>
    </row>
    <row r="64" customFormat="false" ht="15" hidden="false" customHeight="true" outlineLevel="0" collapsed="false">
      <c r="A64" s="9" t="s">
        <v>211</v>
      </c>
      <c r="B64" s="9" t="s">
        <v>97</v>
      </c>
      <c r="C64" s="9" t="n">
        <v>1</v>
      </c>
      <c r="D64" s="9" t="n">
        <v>35437</v>
      </c>
      <c r="E64" s="9"/>
      <c r="F64" s="9"/>
      <c r="G64" s="9"/>
      <c r="H64" s="9"/>
      <c r="I64" s="9"/>
      <c r="J64" s="9"/>
      <c r="K64" s="9"/>
      <c r="L64" s="9"/>
      <c r="M64" s="9"/>
      <c r="N64" s="9"/>
      <c r="O64" s="9" t="s">
        <v>49</v>
      </c>
      <c r="P64" s="9" t="s">
        <v>151</v>
      </c>
      <c r="Q64" s="9" t="n">
        <v>1</v>
      </c>
      <c r="R64" s="9" t="n">
        <v>0</v>
      </c>
      <c r="S64" s="9" t="n">
        <v>0</v>
      </c>
    </row>
    <row r="65" customFormat="false" ht="15" hidden="false" customHeight="true" outlineLevel="0" collapsed="false">
      <c r="A65" s="9" t="s">
        <v>212</v>
      </c>
      <c r="B65" s="9" t="s">
        <v>97</v>
      </c>
      <c r="C65" s="9" t="n">
        <v>1</v>
      </c>
      <c r="D65" s="9" t="n">
        <v>127</v>
      </c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 t="s">
        <v>148</v>
      </c>
      <c r="Q65" s="9" t="n">
        <v>0</v>
      </c>
      <c r="R65" s="9" t="n">
        <v>0</v>
      </c>
      <c r="S65" s="9" t="n">
        <v>0</v>
      </c>
    </row>
    <row r="66" customFormat="false" ht="15" hidden="false" customHeight="true" outlineLevel="0" collapsed="false">
      <c r="A66" s="9" t="s">
        <v>213</v>
      </c>
      <c r="B66" s="9" t="s">
        <v>97</v>
      </c>
      <c r="C66" s="9" t="n">
        <v>1</v>
      </c>
      <c r="D66" s="9" t="n">
        <v>297</v>
      </c>
      <c r="E66" s="9"/>
      <c r="F66" s="9"/>
      <c r="G66" s="9"/>
      <c r="H66" s="9"/>
      <c r="I66" s="9"/>
      <c r="J66" s="9"/>
      <c r="K66" s="9"/>
      <c r="L66" s="9"/>
      <c r="M66" s="9"/>
      <c r="N66" s="9"/>
      <c r="O66" s="9" t="s">
        <v>49</v>
      </c>
      <c r="P66" s="9" t="s">
        <v>151</v>
      </c>
      <c r="Q66" s="9" t="n">
        <v>1</v>
      </c>
      <c r="R66" s="9" t="n">
        <v>0</v>
      </c>
      <c r="S66" s="9" t="n">
        <v>0</v>
      </c>
    </row>
    <row r="67" customFormat="false" ht="15" hidden="false" customHeight="true" outlineLevel="0" collapsed="false">
      <c r="A67" s="9" t="s">
        <v>214</v>
      </c>
      <c r="B67" s="9" t="s">
        <v>97</v>
      </c>
      <c r="C67" s="9" t="n">
        <v>1</v>
      </c>
      <c r="D67" s="9" t="n">
        <v>127</v>
      </c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 t="s">
        <v>148</v>
      </c>
      <c r="Q67" s="9" t="n">
        <v>0</v>
      </c>
      <c r="R67" s="9" t="n">
        <v>0</v>
      </c>
      <c r="S67" s="9" t="n">
        <v>0</v>
      </c>
    </row>
    <row r="68" customFormat="false" ht="15" hidden="false" customHeight="true" outlineLevel="0" collapsed="false">
      <c r="A68" s="9" t="s">
        <v>215</v>
      </c>
      <c r="B68" s="9" t="s">
        <v>97</v>
      </c>
      <c r="C68" s="9" t="n">
        <v>1</v>
      </c>
      <c r="D68" s="9" t="n">
        <v>575</v>
      </c>
      <c r="E68" s="9"/>
      <c r="F68" s="9"/>
      <c r="G68" s="9"/>
      <c r="H68" s="9"/>
      <c r="I68" s="9"/>
      <c r="J68" s="9"/>
      <c r="K68" s="9"/>
      <c r="L68" s="9"/>
      <c r="M68" s="9"/>
      <c r="N68" s="9" t="s">
        <v>49</v>
      </c>
      <c r="O68" s="9" t="s">
        <v>49</v>
      </c>
      <c r="P68" s="9" t="s">
        <v>151</v>
      </c>
      <c r="Q68" s="9" t="n">
        <v>1</v>
      </c>
      <c r="R68" s="9" t="n">
        <v>0</v>
      </c>
      <c r="S68" s="9" t="n">
        <v>0</v>
      </c>
    </row>
    <row r="69" customFormat="false" ht="15" hidden="false" customHeight="true" outlineLevel="0" collapsed="false">
      <c r="A69" s="9" t="s">
        <v>216</v>
      </c>
      <c r="B69" s="9" t="s">
        <v>97</v>
      </c>
      <c r="C69" s="9" t="n">
        <v>1</v>
      </c>
      <c r="D69" s="9" t="n">
        <v>297</v>
      </c>
      <c r="E69" s="9"/>
      <c r="F69" s="9"/>
      <c r="G69" s="9"/>
      <c r="H69" s="9"/>
      <c r="I69" s="9"/>
      <c r="J69" s="9"/>
      <c r="K69" s="9"/>
      <c r="L69" s="9"/>
      <c r="M69" s="9"/>
      <c r="N69" s="9"/>
      <c r="O69" s="9" t="s">
        <v>49</v>
      </c>
      <c r="P69" s="9" t="s">
        <v>151</v>
      </c>
      <c r="Q69" s="9" t="n">
        <v>1</v>
      </c>
      <c r="R69" s="9" t="n">
        <v>0</v>
      </c>
      <c r="S69" s="9" t="n">
        <v>0</v>
      </c>
    </row>
    <row r="70" customFormat="false" ht="15" hidden="false" customHeight="true" outlineLevel="0" collapsed="false">
      <c r="A70" s="9" t="s">
        <v>217</v>
      </c>
      <c r="B70" s="9" t="s">
        <v>97</v>
      </c>
      <c r="C70" s="9" t="n">
        <v>1</v>
      </c>
      <c r="D70" s="9" t="n">
        <v>297</v>
      </c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 t="s">
        <v>148</v>
      </c>
      <c r="Q70" s="9" t="n">
        <v>0</v>
      </c>
      <c r="R70" s="9" t="n">
        <v>0</v>
      </c>
      <c r="S70" s="9" t="n">
        <v>0</v>
      </c>
    </row>
    <row r="71" customFormat="false" ht="15" hidden="false" customHeight="true" outlineLevel="0" collapsed="false">
      <c r="A71" s="9" t="s">
        <v>218</v>
      </c>
      <c r="B71" s="9" t="s">
        <v>97</v>
      </c>
      <c r="C71" s="9" t="n">
        <v>1</v>
      </c>
      <c r="D71" s="9" t="n">
        <v>575</v>
      </c>
      <c r="E71" s="9"/>
      <c r="F71" s="9"/>
      <c r="G71" s="9"/>
      <c r="H71" s="9"/>
      <c r="I71" s="9"/>
      <c r="J71" s="9"/>
      <c r="K71" s="9"/>
      <c r="L71" s="9"/>
      <c r="M71" s="9"/>
      <c r="N71" s="9" t="s">
        <v>49</v>
      </c>
      <c r="O71" s="9" t="s">
        <v>49</v>
      </c>
      <c r="P71" s="9" t="s">
        <v>151</v>
      </c>
      <c r="Q71" s="9" t="n">
        <v>1</v>
      </c>
      <c r="R71" s="9" t="n">
        <v>0</v>
      </c>
      <c r="S71" s="9" t="n">
        <v>0</v>
      </c>
    </row>
    <row r="72" customFormat="false" ht="15" hidden="false" customHeight="true" outlineLevel="0" collapsed="false">
      <c r="A72" s="9" t="s">
        <v>219</v>
      </c>
      <c r="B72" s="9" t="s">
        <v>97</v>
      </c>
      <c r="C72" s="9" t="n">
        <v>1</v>
      </c>
      <c r="D72" s="9" t="n">
        <v>1180</v>
      </c>
      <c r="E72" s="9" t="s">
        <v>35</v>
      </c>
      <c r="F72" s="9"/>
      <c r="G72" s="9" t="s">
        <v>35</v>
      </c>
      <c r="H72" s="9"/>
      <c r="I72" s="9" t="s">
        <v>35</v>
      </c>
      <c r="J72" s="9"/>
      <c r="K72" s="9" t="s">
        <v>35</v>
      </c>
      <c r="L72" s="9"/>
      <c r="M72" s="9"/>
      <c r="N72" s="9"/>
      <c r="O72" s="9"/>
      <c r="P72" s="9" t="s">
        <v>151</v>
      </c>
      <c r="Q72" s="9" t="n">
        <v>0</v>
      </c>
      <c r="R72" s="9" t="n">
        <v>0</v>
      </c>
      <c r="S72" s="9" t="n">
        <v>1</v>
      </c>
    </row>
    <row r="73" customFormat="false" ht="15" hidden="false" customHeight="true" outlineLevel="0" collapsed="false">
      <c r="A73" s="9" t="s">
        <v>220</v>
      </c>
      <c r="B73" s="9" t="s">
        <v>97</v>
      </c>
      <c r="C73" s="9" t="n">
        <v>1</v>
      </c>
      <c r="D73" s="9" t="n">
        <v>297</v>
      </c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 t="s">
        <v>148</v>
      </c>
      <c r="Q73" s="9" t="n">
        <v>0</v>
      </c>
      <c r="R73" s="9" t="n">
        <v>0</v>
      </c>
      <c r="S73" s="9" t="n">
        <v>0</v>
      </c>
    </row>
    <row r="74" customFormat="false" ht="15" hidden="false" customHeight="true" outlineLevel="0" collapsed="false">
      <c r="A74" s="9" t="s">
        <v>221</v>
      </c>
      <c r="B74" s="9" t="s">
        <v>97</v>
      </c>
      <c r="C74" s="9" t="n">
        <v>1</v>
      </c>
      <c r="D74" s="9" t="n">
        <v>297</v>
      </c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 t="s">
        <v>148</v>
      </c>
      <c r="Q74" s="9" t="n">
        <v>0</v>
      </c>
      <c r="R74" s="9" t="n">
        <v>0</v>
      </c>
      <c r="S74" s="9" t="n">
        <v>0</v>
      </c>
    </row>
    <row r="75" customFormat="false" ht="15" hidden="false" customHeight="true" outlineLevel="0" collapsed="false">
      <c r="A75" s="9" t="s">
        <v>222</v>
      </c>
      <c r="B75" s="9" t="s">
        <v>97</v>
      </c>
      <c r="C75" s="9" t="n">
        <v>1</v>
      </c>
      <c r="D75" s="9" t="n">
        <v>127</v>
      </c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 t="s">
        <v>148</v>
      </c>
      <c r="Q75" s="9" t="n">
        <v>0</v>
      </c>
      <c r="R75" s="9" t="n">
        <v>0</v>
      </c>
      <c r="S75" s="9" t="n">
        <v>0</v>
      </c>
    </row>
    <row r="76" customFormat="false" ht="15" hidden="false" customHeight="true" outlineLevel="0" collapsed="false">
      <c r="A76" s="9" t="s">
        <v>223</v>
      </c>
      <c r="B76" s="9" t="s">
        <v>97</v>
      </c>
      <c r="C76" s="9" t="n">
        <v>1</v>
      </c>
      <c r="D76" s="9" t="n">
        <v>577</v>
      </c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 t="s">
        <v>148</v>
      </c>
      <c r="Q76" s="9" t="n">
        <v>0</v>
      </c>
      <c r="R76" s="9" t="n">
        <v>0</v>
      </c>
      <c r="S76" s="9" t="n">
        <v>0</v>
      </c>
    </row>
    <row r="77" customFormat="false" ht="15" hidden="false" customHeight="true" outlineLevel="0" collapsed="false">
      <c r="A77" s="9" t="s">
        <v>224</v>
      </c>
      <c r="B77" s="9" t="s">
        <v>97</v>
      </c>
      <c r="C77" s="9" t="n">
        <v>1</v>
      </c>
      <c r="D77" s="9" t="n">
        <v>1180</v>
      </c>
      <c r="E77" s="9" t="s">
        <v>35</v>
      </c>
      <c r="F77" s="9"/>
      <c r="G77" s="9" t="s">
        <v>35</v>
      </c>
      <c r="H77" s="9"/>
      <c r="I77" s="9" t="s">
        <v>35</v>
      </c>
      <c r="J77" s="9"/>
      <c r="K77" s="9" t="s">
        <v>35</v>
      </c>
      <c r="L77" s="9" t="s">
        <v>46</v>
      </c>
      <c r="M77" s="9"/>
      <c r="N77" s="9"/>
      <c r="O77" s="9"/>
      <c r="P77" s="9" t="s">
        <v>151</v>
      </c>
      <c r="Q77" s="9" t="n">
        <v>0</v>
      </c>
      <c r="R77" s="9" t="n">
        <v>1</v>
      </c>
      <c r="S77" s="9" t="n">
        <v>1</v>
      </c>
    </row>
    <row r="78" customFormat="false" ht="15" hidden="false" customHeight="true" outlineLevel="0" collapsed="false">
      <c r="A78" s="9" t="s">
        <v>225</v>
      </c>
      <c r="B78" s="9" t="s">
        <v>97</v>
      </c>
      <c r="C78" s="9" t="n">
        <v>1</v>
      </c>
      <c r="D78" s="9" t="n">
        <v>127</v>
      </c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 t="s">
        <v>148</v>
      </c>
      <c r="Q78" s="9" t="n">
        <v>0</v>
      </c>
      <c r="R78" s="9" t="n">
        <v>0</v>
      </c>
      <c r="S78" s="9" t="n">
        <v>0</v>
      </c>
    </row>
    <row r="79" customFormat="false" ht="15" hidden="false" customHeight="true" outlineLevel="0" collapsed="false">
      <c r="A79" s="9" t="s">
        <v>226</v>
      </c>
      <c r="B79" s="9" t="s">
        <v>97</v>
      </c>
      <c r="C79" s="9" t="n">
        <v>1</v>
      </c>
      <c r="D79" s="9" t="n">
        <v>1522</v>
      </c>
      <c r="E79" s="9"/>
      <c r="F79" s="9"/>
      <c r="G79" s="9"/>
      <c r="H79" s="9"/>
      <c r="I79" s="9"/>
      <c r="J79" s="9"/>
      <c r="K79" s="9"/>
      <c r="L79" s="9"/>
      <c r="M79" s="9"/>
      <c r="N79" s="9"/>
      <c r="O79" s="9" t="s">
        <v>49</v>
      </c>
      <c r="P79" s="9" t="s">
        <v>151</v>
      </c>
      <c r="Q79" s="9" t="n">
        <v>1</v>
      </c>
      <c r="R79" s="9" t="n">
        <v>0</v>
      </c>
      <c r="S79" s="9" t="n">
        <v>0</v>
      </c>
    </row>
    <row r="80" customFormat="false" ht="15" hidden="false" customHeight="true" outlineLevel="0" collapsed="false">
      <c r="A80" s="9" t="s">
        <v>227</v>
      </c>
      <c r="B80" s="9" t="s">
        <v>97</v>
      </c>
      <c r="C80" s="9" t="n">
        <v>1</v>
      </c>
      <c r="D80" s="9" t="n">
        <v>1522</v>
      </c>
      <c r="E80" s="9"/>
      <c r="F80" s="9"/>
      <c r="G80" s="9"/>
      <c r="H80" s="9"/>
      <c r="I80" s="9"/>
      <c r="J80" s="9"/>
      <c r="K80" s="9"/>
      <c r="L80" s="9"/>
      <c r="M80" s="9"/>
      <c r="N80" s="9"/>
      <c r="O80" s="9" t="s">
        <v>49</v>
      </c>
      <c r="P80" s="9" t="s">
        <v>151</v>
      </c>
      <c r="Q80" s="9" t="n">
        <v>1</v>
      </c>
      <c r="R80" s="9" t="n">
        <v>0</v>
      </c>
      <c r="S80" s="9" t="n">
        <v>0</v>
      </c>
    </row>
    <row r="81" customFormat="false" ht="15" hidden="false" customHeight="true" outlineLevel="0" collapsed="false">
      <c r="A81" s="9" t="s">
        <v>228</v>
      </c>
      <c r="B81" s="9" t="s">
        <v>97</v>
      </c>
      <c r="C81" s="9" t="n">
        <v>1</v>
      </c>
      <c r="D81" s="9" t="n">
        <v>297</v>
      </c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 t="s">
        <v>148</v>
      </c>
      <c r="Q81" s="9" t="n">
        <v>0</v>
      </c>
      <c r="R81" s="9" t="n">
        <v>0</v>
      </c>
      <c r="S81" s="9" t="n">
        <v>0</v>
      </c>
    </row>
    <row r="82" customFormat="false" ht="15" hidden="false" customHeight="true" outlineLevel="0" collapsed="false">
      <c r="A82" s="9" t="s">
        <v>229</v>
      </c>
      <c r="B82" s="9" t="s">
        <v>97</v>
      </c>
      <c r="C82" s="9" t="n">
        <v>1</v>
      </c>
      <c r="D82" s="9" t="n">
        <v>1520</v>
      </c>
      <c r="E82" s="9"/>
      <c r="F82" s="9"/>
      <c r="G82" s="9"/>
      <c r="H82" s="9"/>
      <c r="I82" s="9"/>
      <c r="J82" s="9"/>
      <c r="K82" s="9"/>
      <c r="L82" s="9"/>
      <c r="M82" s="9"/>
      <c r="N82" s="9"/>
      <c r="O82" s="9" t="s">
        <v>49</v>
      </c>
      <c r="P82" s="9" t="s">
        <v>151</v>
      </c>
      <c r="Q82" s="9" t="n">
        <v>1</v>
      </c>
      <c r="R82" s="9" t="n">
        <v>0</v>
      </c>
      <c r="S82" s="9" t="n">
        <v>0</v>
      </c>
    </row>
    <row r="83" customFormat="false" ht="15" hidden="false" customHeight="true" outlineLevel="0" collapsed="false">
      <c r="A83" s="9" t="s">
        <v>230</v>
      </c>
      <c r="B83" s="9" t="s">
        <v>97</v>
      </c>
      <c r="C83" s="9" t="n">
        <v>1</v>
      </c>
      <c r="D83" s="9" t="n">
        <v>1180</v>
      </c>
      <c r="E83" s="9" t="s">
        <v>35</v>
      </c>
      <c r="F83" s="9"/>
      <c r="G83" s="9" t="s">
        <v>35</v>
      </c>
      <c r="H83" s="9"/>
      <c r="I83" s="9" t="s">
        <v>35</v>
      </c>
      <c r="J83" s="9"/>
      <c r="K83" s="9" t="s">
        <v>35</v>
      </c>
      <c r="L83" s="9" t="s">
        <v>46</v>
      </c>
      <c r="M83" s="9"/>
      <c r="N83" s="9"/>
      <c r="O83" s="9"/>
      <c r="P83" s="9" t="s">
        <v>151</v>
      </c>
      <c r="Q83" s="9" t="n">
        <v>0</v>
      </c>
      <c r="R83" s="9" t="n">
        <v>1</v>
      </c>
      <c r="S83" s="9" t="n">
        <v>1</v>
      </c>
    </row>
    <row r="84" customFormat="false" ht="15" hidden="false" customHeight="true" outlineLevel="0" collapsed="false">
      <c r="A84" s="9" t="s">
        <v>231</v>
      </c>
      <c r="B84" s="9" t="s">
        <v>97</v>
      </c>
      <c r="C84" s="9" t="n">
        <v>1</v>
      </c>
      <c r="D84" s="9" t="n">
        <v>297</v>
      </c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 t="s">
        <v>148</v>
      </c>
      <c r="Q84" s="9" t="n">
        <v>0</v>
      </c>
      <c r="R84" s="9" t="n">
        <v>0</v>
      </c>
      <c r="S84" s="9" t="n">
        <v>0</v>
      </c>
    </row>
    <row r="85" customFormat="false" ht="15" hidden="false" customHeight="true" outlineLevel="0" collapsed="false">
      <c r="A85" s="9" t="s">
        <v>232</v>
      </c>
      <c r="B85" s="9" t="s">
        <v>97</v>
      </c>
      <c r="C85" s="9" t="n">
        <v>1</v>
      </c>
      <c r="D85" s="9" t="n">
        <v>127</v>
      </c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 t="s">
        <v>148</v>
      </c>
      <c r="Q85" s="9" t="n">
        <v>0</v>
      </c>
      <c r="R85" s="9" t="n">
        <v>0</v>
      </c>
      <c r="S85" s="9" t="n">
        <v>0</v>
      </c>
    </row>
    <row r="86" customFormat="false" ht="15" hidden="false" customHeight="true" outlineLevel="0" collapsed="false">
      <c r="A86" s="9" t="s">
        <v>233</v>
      </c>
      <c r="B86" s="9" t="s">
        <v>97</v>
      </c>
      <c r="C86" s="9" t="n">
        <v>1</v>
      </c>
      <c r="D86" s="9" t="n">
        <v>297</v>
      </c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 t="s">
        <v>148</v>
      </c>
      <c r="Q86" s="9" t="n">
        <v>0</v>
      </c>
      <c r="R86" s="9" t="n">
        <v>0</v>
      </c>
      <c r="S86" s="9" t="n">
        <v>0</v>
      </c>
    </row>
    <row r="87" customFormat="false" ht="15" hidden="false" customHeight="true" outlineLevel="0" collapsed="false">
      <c r="A87" s="9" t="s">
        <v>234</v>
      </c>
      <c r="B87" s="9" t="s">
        <v>97</v>
      </c>
      <c r="C87" s="9" t="n">
        <v>1</v>
      </c>
      <c r="D87" s="9" t="n">
        <v>575</v>
      </c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 t="s">
        <v>148</v>
      </c>
      <c r="Q87" s="9" t="n">
        <v>0</v>
      </c>
      <c r="R87" s="9" t="n">
        <v>0</v>
      </c>
      <c r="S87" s="9" t="n">
        <v>0</v>
      </c>
    </row>
    <row r="88" customFormat="false" ht="15" hidden="false" customHeight="true" outlineLevel="0" collapsed="false">
      <c r="A88" s="9" t="s">
        <v>235</v>
      </c>
      <c r="B88" s="9" t="s">
        <v>97</v>
      </c>
      <c r="C88" s="9" t="n">
        <v>1</v>
      </c>
      <c r="D88" s="9" t="n">
        <v>1180</v>
      </c>
      <c r="E88" s="9" t="s">
        <v>35</v>
      </c>
      <c r="F88" s="9"/>
      <c r="G88" s="9" t="s">
        <v>35</v>
      </c>
      <c r="H88" s="9"/>
      <c r="I88" s="9" t="s">
        <v>35</v>
      </c>
      <c r="J88" s="9"/>
      <c r="K88" s="9" t="s">
        <v>35</v>
      </c>
      <c r="L88" s="9" t="s">
        <v>46</v>
      </c>
      <c r="M88" s="9"/>
      <c r="N88" s="9"/>
      <c r="O88" s="9"/>
      <c r="P88" s="9" t="s">
        <v>151</v>
      </c>
      <c r="Q88" s="9" t="n">
        <v>0</v>
      </c>
      <c r="R88" s="9" t="n">
        <v>1</v>
      </c>
      <c r="S88" s="9" t="n">
        <v>1</v>
      </c>
    </row>
    <row r="89" customFormat="false" ht="15" hidden="false" customHeight="true" outlineLevel="0" collapsed="false">
      <c r="A89" s="9" t="s">
        <v>236</v>
      </c>
      <c r="B89" s="9" t="s">
        <v>97</v>
      </c>
      <c r="C89" s="9" t="n">
        <v>1</v>
      </c>
      <c r="D89" s="9" t="n">
        <v>1520</v>
      </c>
      <c r="E89" s="9"/>
      <c r="F89" s="9"/>
      <c r="G89" s="9"/>
      <c r="H89" s="9"/>
      <c r="I89" s="9"/>
      <c r="J89" s="9"/>
      <c r="K89" s="9"/>
      <c r="L89" s="9"/>
      <c r="M89" s="9"/>
      <c r="N89" s="9"/>
      <c r="O89" s="9" t="s">
        <v>49</v>
      </c>
      <c r="P89" s="9" t="s">
        <v>151</v>
      </c>
      <c r="Q89" s="9" t="n">
        <v>1</v>
      </c>
      <c r="R89" s="9" t="n">
        <v>0</v>
      </c>
      <c r="S89" s="9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2026-07-29T08:29:41Z</dcterms:created>
  <dc:creator>openpyxl</dc:creator>
  <dc:description/>
  <dc:language>en-US</dc:language>
  <cp:lastModifiedBy/>
  <dcterms:modified xsi:type="dcterms:W3CDTF">2026-07-31T06:26:55Z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