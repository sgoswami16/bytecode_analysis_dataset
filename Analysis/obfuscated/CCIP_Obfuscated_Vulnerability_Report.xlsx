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Why_These_Results" sheetId="9" state="visible" r:id="rId11"/>
    <sheet name="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<sst xmlns="http://schemas.openxmlformats.org/spreadsheetml/2006/main" count="797" uniqueCount="241">
  <si>
    <t xml:space="preserve">CCIP_Obfuscated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</si>
  <si>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</si>
  <si>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</si>
  <si>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</si>
  <si>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</si>
  <si>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</si>
  <si>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</si>
  <si>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</si>
  <si>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</si>
  <si>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</si>
  <si>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</si>
  <si>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</si>
  <si>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</si>
  <si>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</si>
  <si>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</si>
  <si>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</si>
  <si>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</si>
  <si>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</si>
  <si>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</si>
  <si>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</si>
  <si>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</si>
  <si>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</si>
  <si>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</si>
  <si>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</si>
  <si>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</si>
  <si>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</si>
  <si>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</si>
  <si>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</si>
  <si>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</si>
  <si>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</si>
  <si>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CCIP_Obfuscated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</si>
  <si>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</si>
  <si>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</si>
  <si>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</si>
  <si>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</si>
  <si>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Securify</t>
  </si>
  <si>
    <t xml:space="preserve">Bytecode-level detection</t>
  </si>
  <si>
    <t xml:space="preserve">Integer</t>
  </si>
  <si>
    <t xml:space="preserve">Not covered (0 detections)</t>
  </si>
  <si>
    <t xml:space="preserve">Zero detections this run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</si>
  <si>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</si>
  <si>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</si>
  <si>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</si>
  <si>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</si>
  <si>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</si>
  <si>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</si>
  <si>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</si>
  <si>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</si>
  <si>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Ether Leak</t>
  </si>
  <si>
    <t xml:space="preserve">MAIAN</t>
  </si>
  <si>
    <t xml:space="preserve">OVERALL VULNERABLE</t>
  </si>
  <si>
    <t xml:space="preserve">Any tool</t>
  </si>
  <si>
    <t xml:space="preserve">Flagged by &gt;=1 tool</t>
  </si>
  <si>
    <t xml:space="preserve">CCIP_Obfuscated — Detection Count Analysis</t>
  </si>
  <si>
    <t xml:space="preserve">Flags per contract = count of (Reentrancy, Access Control, Unchecked Call, TOD,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</si>
  <si>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</si>
  <si>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</si>
  <si>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</si>
  <si>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</si>
  <si>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</si>
  <si>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</si>
  <si>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4 categories flagged</t>
  </si>
  <si>
    <t xml:space="preserve">5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</si>
  <si>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</si>
  <si>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</si>
  <si>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</si>
  <si>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CCIP_Obfuscated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</si>
  <si>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</si>
  <si>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</si>
  <si>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</si>
  <si>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</si>
  <si>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Symbolic execution, financial-flow analysis</t>
  </si>
  <si>
    <t xml:space="preserve">Reentrancy, Access Control, Unchecked Call, TOD</t>
  </si>
  <si>
    <t xml:space="preserve">Others (n/a)</t>
  </si>
  <si>
    <t xml:space="preserve">Integer, Delegatecall, Timestamp, DoS, Selfdestruct, Locked Ether</t>
  </si>
  <si>
    <t xml:space="preserve">Zero detections in this run</t>
  </si>
  <si>
    <t xml:space="preserve">CCIP_Obfuscated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</si>
  <si>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</si>
  <si>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</si>
  <si>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</si>
  <si>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</si>
  <si>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</si>
  <si>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</si>
  <si>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</si>
  <si>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</si>
  <si>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</si>
  <si>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</si>
  <si>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</si>
  <si>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</si>
  <si>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</si>
  <si>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</si>
  <si>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</si>
  <si>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abstract-mainnet</t>
  </si>
  <si>
    <t xml:space="preserve">apechain-mainnet</t>
  </si>
  <si>
    <t xml:space="preserve">avalanche-fuji-testnet</t>
  </si>
  <si>
    <t xml:space="preserve">berachain-mainnet</t>
  </si>
  <si>
    <t xml:space="preserve">celo-mainnet</t>
  </si>
  <si>
    <t xml:space="preserve">ethereum-mainnet-arbitrum-1</t>
  </si>
  <si>
    <t xml:space="preserve">ethereum-mainnet-linea-1</t>
  </si>
  <si>
    <t xml:space="preserve">ethereum-mainnet-mantle-1</t>
  </si>
  <si>
    <t xml:space="preserve">ethereum-mainnet-taiko-1</t>
  </si>
  <si>
    <t xml:space="preserve">ethereum-mainnet-unichain-1</t>
  </si>
  <si>
    <t xml:space="preserve">ethereum-mainnet-worldchain-1</t>
  </si>
  <si>
    <t xml:space="preserve">ethereum-testnet-sepolia-arbitrum-1</t>
  </si>
  <si>
    <t xml:space="preserve">ethereum-testnet-sepolia-base-1</t>
  </si>
  <si>
    <t xml:space="preserve">ethereum-testnet-sepolia-linea-1</t>
  </si>
  <si>
    <t xml:space="preserve">ethereum-testnet-sepolia-optimism-1</t>
  </si>
  <si>
    <t xml:space="preserve">ethereum-testnet-sepolia-worldchain-1</t>
  </si>
  <si>
    <t xml:space="preserve">fraxtal-mainnet</t>
  </si>
  <si>
    <t xml:space="preserve">matic-mainnet</t>
  </si>
  <si>
    <t xml:space="preserve">plasma-mainnet</t>
  </si>
  <si>
    <t xml:space="preserve">sei-mainnet</t>
  </si>
  <si>
    <t xml:space="preserve">sonic-mainnet</t>
  </si>
  <si>
    <t xml:space="preserve">xdai-mainnet</t>
  </si>
  <si>
    <t xml:space="preserve">CCIP_Obfuscated — Tool Agreement (Jaccard Index)</t>
  </si>
  <si>
    <t xml:space="preserve">Pairwise agreement among 2 tools (MAIAN, Securify), among contracts with bytecode.</t>
  </si>
  <si>
    <t xml:space="preserve">MAIAN vs Securify</t>
  </si>
  <si>
    <t xml:space="preserve">Set</t>
  </si>
  <si>
    <t xml:space="preserve">Count</t>
  </si>
  <si>
    <t xml:space="preserve">Definition</t>
  </si>
  <si>
    <t xml:space="preserve">Both flag (A ∩ B)</t>
  </si>
  <si>
    <t xml:space="preserve">MAIAN AND Securify</t>
  </si>
  <si>
    <t xml:space="preserve">Only MAIAN flags (A \ B)</t>
  </si>
  <si>
    <t xml:space="preserve">MAIAN only</t>
  </si>
  <si>
    <t xml:space="preserve">Only Securify flags (B \ A)</t>
  </si>
  <si>
    <t xml:space="preserve">Securify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</si>
  <si>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</si>
  <si>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</si>
  <si>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</si>
  <si>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J(MAIAN,Securify) = |A∩B| / |A∪B|</t>
  </si>
  <si>
    <t xml:space="preserve">CCIP_Obfuscated — Key Findings</t>
  </si>
  <si>
    <t xml:space="preserve">CCIP Obfuscated — Why These Results: Forensic Explanation of the Detection Pattern</t>
  </si>
  <si>
    <t xml:space="preserve">Findings below combine (a) direct inspection of the raw BOSC-obfuscated bytecode where available, and (b) matched-pair comparison against the ORIGINAL (unobfuscated) run on the same addresses.</t>
  </si>
  <si>
    <t xml:space="preserve">1. WHY THE TOOL SET FIRING HERE IS MAIAN/Securify</t>
  </si>
  <si>
    <t xml:space="preserve">CCIP's obfuscated run shows detections from MAIAN, Securify only - Mythril produced ZERO hits here, unlike the other protocols in this dataset. This is the single largest driver of CCIP's 100.0% overall vulnerable rate, independent of whether obfuscation actually changed the underlying code's exploitability.</t>
  </si>
  <si>
    <t xml:space="preserve">CCIP-obfuscated has no Mythril detections at all, but MAIAN alone still flags 100% of contracts (via Ether_Leak) - meaning MAIAN's heuristic is unaffected by identifier renaming, struct-packing or flat-filing, which makes sense: MAIAN reasons about control-flow reachability to a value-sending opcode, a property obfuscation does not change. The near-total absence of Mythril here should be checked against the SmartBugs run logs before concluding CCIP's obfuscated code is genuinely free of integer-overflow patterns.</t>
  </si>
  <si>
    <t xml:space="preserve">2. WHAT CHANGED VERSUS THE ORIGINAL (UNOBFUSCATED) BYTECODE, SAME CONTRACTS</t>
  </si>
  <si>
    <t xml:space="preserve">On the 70 addresses successfully analyzed in BOTH the original and obfuscated runs: original vulnerable rate 100.0% -&gt; obfuscated vulnerable rate 100.0%. 0 contracts that were flagged originally evaded ALL detection after obfuscation (0.0% evasion rate among originally-flagged contracts); 0 contracts that were clean originally were newly flagged after obfuscation.</t>
  </si>
  <si>
    <t xml:space="preserve">CCIP shows 0% evasion and 0 new detections - every one of the 70 matched contracts stayed Vulnerable=Yes on both sides. Given section 1, this is consistent with MAIAN's Ether_Leak heuristic being a structural property of the contract (payable, no provably-safe exit) that obfuscation techniques like identifier renaming or struct-packing cannot remove, since they preserve control flow.</t>
  </si>
  <si>
    <t xml:space="preserve">3. BYTECODE-LEVEL OBSERVATIONS</t>
  </si>
  <si>
    <t xml:space="preserve">No raw bytecode text is present in CCIP's obfuscated export (all 87 rows have detection results but a blank Bytecode field) - the same data-export quirk documented for Hyperlane's original run. Bytecode-level forensics (length, opcode counts) cannot be performed for this protocol's obfuscated dataset; conclusions here rely on the tool-output and matched-pair analysis above only.</t>
  </si>
  <si>
    <t xml:space="preserve">SUMMARY</t>
  </si>
  <si>
    <t xml:space="preserve">CCIP obfuscated shows NO change from its original 100% vulnerable rate. The likely explanation is that MAIAN's Ether_Leak heuristic depends on control-flow/reachability properties that identifier renaming, struct-packing and flat-filing do not alter - obfuscation changed the code's surface form but not the property MAIAN is actually testing for.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</si>
  <si>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</si>
  <si>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</si>
  <si>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</si>
  <si>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</si>
  <si>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</si>
  <si>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</si>
  <si>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</si>
  <si>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</si>
  <si>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</si>
  <si>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Securify_Flag</t>
  </si>
  <si>
    <t xml:space="preserve">abstract-mainnet_0x09521B0B5BB2d4406124c0207Cf551829B45f84d</t>
  </si>
  <si>
    <t xml:space="preserve">Yes</t>
  </si>
  <si>
    <t xml:space="preserve">abstract-mainnet_0x7EEdf2DBC74924Cb1f23fC8845CD35bF18b697de</t>
  </si>
  <si>
    <t xml:space="preserve">abstract-mainnet_0xB79791184973589c38e114D43Eb8E4588C283A18</t>
  </si>
  <si>
    <t xml:space="preserve">apechain-mainnet_0x1c2F528e3BEeFF81Bc03CC63E64dB131d18be7fA</t>
  </si>
  <si>
    <t xml:space="preserve">apechain-mainnet_0x768a1a3B321126A8B214d7376D48465C7f6Fa061</t>
  </si>
  <si>
    <t xml:space="preserve">apechain-mainnet_0xABF586910586b8dcbdF92f1C5e2Ae14106f3DD16</t>
  </si>
  <si>
    <t xml:space="preserve">apechain-mainnet_0xD3ED6fC9fd22412764ac2Ef64fB664b9393dF9F2</t>
  </si>
  <si>
    <t xml:space="preserve">apechain-mainnet_0xe9c6945281028cb6530d43F998eE539dFE2a9191</t>
  </si>
  <si>
    <t xml:space="preserve">avalanche-fuji-testnet_0x8E9066E66bF1B8A4eAF2344589De9ff82CE47C2d</t>
  </si>
  <si>
    <t xml:space="preserve">avalanche-fuji-testnet_0xAc8CFc3762a979628334a0E4C1026244498E821b</t>
  </si>
  <si>
    <t xml:space="preserve">avalanche-fuji-testnet_0xF694E193200268f9a4868e4Aa017A0118C9a8177</t>
  </si>
  <si>
    <t xml:space="preserve">avalanche-fuji-testnet_0xefa93f3312840683893DbdeB3d53359b2d948F50</t>
  </si>
  <si>
    <t xml:space="preserve">berachain-mainnet_0x160603D7C0Ac00409276bf6707430712Caf5b555</t>
  </si>
  <si>
    <t xml:space="preserve">berachain-mainnet_0x25943b8C30C47F4eF09CcF2BAE315EbaF591881d</t>
  </si>
  <si>
    <t xml:space="preserve">berachain-mainnet_0x76159c2b43ff6F630193e37EC68452169914C1Bb</t>
  </si>
  <si>
    <t xml:space="preserve">celo-mainnet_0x56e0507d4E69D98bE7Eb4ada01d2315596F9f281</t>
  </si>
  <si>
    <t xml:space="preserve">celo-mainnet_0x9fCd83bC7F67ADa1fB51a4caBEa333c72B641bd1</t>
  </si>
  <si>
    <t xml:space="preserve">celo-mainnet_0xf19e0555fAA9051e277eeD5A0DcdB13CDaca39a9</t>
  </si>
  <si>
    <t xml:space="preserve">celo-mainnet_0xfB48f15480926A4ADf9116Dca468bDd2EE6C5F62</t>
  </si>
  <si>
    <t xml:space="preserve">ethereum-mainnet-arbitrum-1_0x141fa059441E0ca23ce184B6A78bafD2A517DdE8</t>
  </si>
  <si>
    <t xml:space="preserve">ethereum-mainnet-arbitrum-1_0x39AE1032cF4B334a1Ed41cdD0833bdD7c7E7751E</t>
  </si>
  <si>
    <t xml:space="preserve">ethereum-mainnet-arbitrum-1_0x8A76fe7fA6da27f85a626c5C53730B38D13603d7</t>
  </si>
  <si>
    <t xml:space="preserve">ethereum-mainnet-arbitrum-1_0xC311a21e6fEf769344EB1515588B9d535662a145</t>
  </si>
  <si>
    <t xml:space="preserve">ethereum-mainnet-linea-1_0x1F8fbCf559f08FE7c4076f0d68DB861e1E27f95b</t>
  </si>
  <si>
    <t xml:space="preserve">ethereum-mainnet-linea-1_0xBc933cEE67d2b1c08490ee8C51E2dF653a713534</t>
  </si>
  <si>
    <t xml:space="preserve">ethereum-mainnet-linea-1_0xb0B4b5847E35033766d5B49CD9C0fC40F459321F</t>
  </si>
  <si>
    <t xml:space="preserve">ethereum-mainnet-mantle-1_0x000A744940eB5D857c0d61d97015DFc83107404F</t>
  </si>
  <si>
    <t xml:space="preserve">ethereum-mainnet-mantle-1_0x670052635a9850bb45882Cb2eCcF66bCff0F41B7</t>
  </si>
  <si>
    <t xml:space="preserve">ethereum-mainnet-mantle-1_0x91E2186E93F0ECeDDCdf9850078F104daB085E79</t>
  </si>
  <si>
    <t xml:space="preserve">ethereum-mainnet-mantle-1_0xc2e3A3C18ccb634622B57fF119a1C8C7f12e8C0c</t>
  </si>
  <si>
    <t xml:space="preserve">ethereum-mainnet-taiko-1_0x01f66BA71474d30De43d3c7B389F4019505B7F59</t>
  </si>
  <si>
    <t xml:space="preserve">ethereum-mainnet-taiko-1_0x308a2A7d13B12ba26649F381C53F7e7C60d0D9c6</t>
  </si>
  <si>
    <t xml:space="preserve">ethereum-mainnet-taiko-1_0x43DB2E5d6A83399e0530DC652286F655B18a2b07</t>
  </si>
  <si>
    <t xml:space="preserve">ethereum-mainnet-taiko-1_0x4e52dD94e9BCfeFE3C78153bDfB0AB1d30687297</t>
  </si>
  <si>
    <t xml:space="preserve">ethereum-mainnet-taiko-1_0xeb2502AeD3Cfd6E37e292c6B837a8FFF9a042367</t>
  </si>
  <si>
    <t xml:space="preserve">ethereum-mainnet-unichain-1_0x68891f5F96695ECd7dEdBE2289D1b73426ae7864</t>
  </si>
  <si>
    <t xml:space="preserve">ethereum-mainnet-unichain-1_0xAB3Ee2e897cf23c10e76d26aB4674fEFA376bc0d</t>
  </si>
  <si>
    <t xml:space="preserve">ethereum-mainnet-unichain-1_0xB79791184973589c38e114D43Eb8E4588C283A18</t>
  </si>
  <si>
    <t xml:space="preserve">ethereum-mainnet-unichain-1_0xd8F5e7FAc317c638d2Fe4d07ab3f436ca6b5e5c7</t>
  </si>
  <si>
    <t xml:space="preserve">ethereum-mainnet-worldchain-1_0x02Fe6ab4fb0943F58D9D925d1d2cbA9474997Ed0</t>
  </si>
  <si>
    <t xml:space="preserve">ethereum-mainnet-worldchain-1_0x0aA145a62153190B8f0D3cA00c441e451529f755</t>
  </si>
  <si>
    <t xml:space="preserve">ethereum-mainnet-worldchain-1_0x5fd9E4986187c56826A3064954Cfa2Cf250cfA0f</t>
  </si>
  <si>
    <t xml:space="preserve">ethereum-mainnet-worldchain-1_0x7DE7Ef73cF001ff15b3aA558855D7eeC439d43ab</t>
  </si>
  <si>
    <t xml:space="preserve">ethereum-testnet-sepolia-arbitrum-1_0x2a9C5afB0d0e4BAb2BCdaE109EC4b0c4Be15a165</t>
  </si>
  <si>
    <t xml:space="preserve">ethereum-testnet-sepolia-arbitrum-1_0x8126bE56454B628a88C17849B9ED99dd5a11Bd2f</t>
  </si>
  <si>
    <t xml:space="preserve">ethereum-testnet-sepolia-arbitrum-1_0xFc28e82F5D0780CF6074D5331Ca34859F92e6E54</t>
  </si>
  <si>
    <t xml:space="preserve">ethereum-testnet-sepolia-arbitrum-1_0xaD417c0611dBD225471D31F056b8B6beC1CBC153</t>
  </si>
  <si>
    <t xml:space="preserve">ethereum-testnet-sepolia-base-1_0x176ae8C6C11DD2c031B924CE1A0A43188035f3f6</t>
  </si>
  <si>
    <t xml:space="preserve">ethereum-testnet-sepolia-base-1_0x29014dCC16CD6543F5c09623FD9c325902076caD</t>
  </si>
  <si>
    <t xml:space="preserve">ethereum-testnet-sepolia-base-1_0x736D0bBb318c1B27Ff686cd19804094E66250e17</t>
  </si>
  <si>
    <t xml:space="preserve">ethereum-testnet-sepolia-base-1_0x99360767a4705f68CcCb9533195B761648d6d807</t>
  </si>
  <si>
    <t xml:space="preserve">ethereum-testnet-sepolia-base-1_0xD3b06cEbF099CE7DA4AcCf578aaebFDBd6e88a93</t>
  </si>
  <si>
    <t xml:space="preserve">ethereum-testnet-sepolia-linea-1_0x5B5179082056227721031C2ef1c45049864D0149</t>
  </si>
  <si>
    <t xml:space="preserve">ethereum-testnet-sepolia-linea-1_0xB4431A6c63F72916151fEA2864DBB13b8ce80E8a</t>
  </si>
  <si>
    <t xml:space="preserve">ethereum-testnet-sepolia-linea-1_0xEB5D23FD0CFcd7EB3D16ac6F3A58CAdaF44c2324</t>
  </si>
  <si>
    <t xml:space="preserve">ethereum-testnet-sepolia-linea-1_0xb550D73F428C08441E4d92d762CceE5F39b1c608</t>
  </si>
  <si>
    <t xml:space="preserve">ethereum-testnet-sepolia-linea-1_0xeabcDfdc6dA2c66144f150CbD1eDa54c842B67B3</t>
  </si>
  <si>
    <t xml:space="preserve">ethereum-testnet-sepolia-optimism-1_0x1d702b1FA12F347f0921C722f9D9166F00DEB67A</t>
  </si>
  <si>
    <t xml:space="preserve">ethereum-testnet-sepolia-optimism-1_0x5546871845f84301fA6d9195d7abfEda20e7a155</t>
  </si>
  <si>
    <t xml:space="preserve">ethereum-testnet-sepolia-optimism-1_0x6AfeDdaE519bA02985B4DD027b3f22298e1D828D</t>
  </si>
  <si>
    <t xml:space="preserve">ethereum-testnet-sepolia-optimism-1_0xb40A3109075965cc09E93719e33E748abf680dAe</t>
  </si>
  <si>
    <t xml:space="preserve">ethereum-testnet-sepolia-worldchain-1_0x469f402B75c7679eccac0Afab43aB60A292f1976</t>
  </si>
  <si>
    <t xml:space="preserve">ethereum-testnet-sepolia-worldchain-1_0x47693fc188b2c30078F142eadc2C009E8D786E8d</t>
  </si>
  <si>
    <t xml:space="preserve">ethereum-testnet-sepolia-worldchain-1_0x5A02ce533FF13f2A069CfACEe49431c017e17aBC</t>
  </si>
  <si>
    <t xml:space="preserve">ethereum-testnet-sepolia-worldchain-1_0x693926456C8b210f56E29Bc5b4514B32A5224c88</t>
  </si>
  <si>
    <t xml:space="preserve">ethereum-testnet-sepolia-worldchain-1_0xBD04B1B560A30cB3DA471574bB38F069F9C97399</t>
  </si>
  <si>
    <t xml:space="preserve">fraxtal-mainnet_0x4bdF20477744Ec5F9DE738b5cC9ACd01763905ee</t>
  </si>
  <si>
    <t xml:space="preserve">fraxtal-mainnet_0x6170Dd67f0Bd9a371870D8e27F3E3f64Cf4F394c</t>
  </si>
  <si>
    <t xml:space="preserve">fraxtal-mainnet_0x6724621d8A560A84E4B6012c4bAA0eA6fF47B9DF</t>
  </si>
  <si>
    <t xml:space="preserve">fraxtal-mainnet_0x889b5Ada2Ce451ED68C5e1b40B8236C3448ff681</t>
  </si>
  <si>
    <t xml:space="preserve">fraxtal-mainnet_0xdd8aF6046349EDFD40123E0b616286cEC08010ed</t>
  </si>
  <si>
    <t xml:space="preserve">matic-mainnet_0x6378c36C44B28f4d1513e7a5510A8481a23eecda</t>
  </si>
  <si>
    <t xml:space="preserve">matic-mainnet_0x849c5ED5a80F5B408Dd4969b78c2C8fdf0565Bfe</t>
  </si>
  <si>
    <t xml:space="preserve">plasma-mainnet_0x02A4D69cFfeC00Fbf7F3B60c93e3529Dfc58894d</t>
  </si>
  <si>
    <t xml:space="preserve">plasma-mainnet_0xAEf7A922931848d2e731D5914f428b4E851d1Ad5</t>
  </si>
  <si>
    <t xml:space="preserve">plasma-mainnet_0xD6e3c0089f6c260109A2a54D2441D5D4743801CD</t>
  </si>
  <si>
    <t xml:space="preserve">plasma-mainnet_0xc23071a8AE83671f37bdA1DaDBC745a9780f632A</t>
  </si>
  <si>
    <t xml:space="preserve">sei-mainnet_0x258Fc917b8de98b4aA0d38776E95dcce9e7EC8aC</t>
  </si>
  <si>
    <t xml:space="preserve">sei-mainnet_0x910a46cA93E8086BF1d7D65190eE6AEe5256Bd61</t>
  </si>
  <si>
    <t xml:space="preserve">sei-mainnet_0xAba60dA7E88F7E8f5868C2B6dE06CB759d693af0</t>
  </si>
  <si>
    <t xml:space="preserve">sei-mainnet_0xE67E30B1b4F80A35852488757C3efc093903651A</t>
  </si>
  <si>
    <t xml:space="preserve">sonic-mainnet_0x2961Cb47b5111F38d75f415c21ceB4120ddd1b69</t>
  </si>
  <si>
    <t xml:space="preserve">sonic-mainnet_0x5931822f394baBC2AACF4588E98FC77a9f5aa8C9</t>
  </si>
  <si>
    <t xml:space="preserve">sonic-mainnet_0xB4e1Ff7882474BB93042be9AD5E1fA387949B860</t>
  </si>
  <si>
    <t xml:space="preserve">xdai-mainnet_0x4aAD6071085df840abD9Baf1697d5D5992bDadce</t>
  </si>
  <si>
    <t xml:space="preserve">xdai-mainnet_0x73BC11423CBF14914998C23B0aFC9BE0cb5B2229</t>
  </si>
  <si>
    <t xml:space="preserve">xdai-mainnet_0x76159c2b43ff6F630193e37EC68452169914C1Bb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</si>
</sst>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tr">
        <f aca="false">"Addresses queried: "&amp;COUNTA(Data!A2:A88)&amp;"  |  Chains covered: 22"</f>
        <v>Addresses queried: 87  |  Chains covered: 22</v>
      </c>
    </row>
    <row r="5" customFormat="false" ht="15" hidden="false" customHeight="true" outlineLevel="0" collapsed="false">
      <c r="A5" s="4" t="str">
        <f aca="false">"Contracts with resolved bytecode: "&amp;SUM(Data!C2:C88)&amp;"  |  No bytecode (EOA/unverified): "&amp;(COUNTA(Data!A2:A88)-SUM(Data!C2:C88))</f>
        <v>Contracts with resolved bytecode: 87  |  No bytecode (EOA/unverified): 0</v>
      </c>
    </row>
    <row r="6" customFormat="false" ht="15" hidden="false" customHeight="true" outlineLevel="0" collapsed="false">
      <c r="A6" s="4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100.0% of resolved contracts (87/87)</v>
      </c>
    </row>
    <row r="7" customFormat="false" ht="15" hidden="false" customHeight="true" outlineLevel="0" collapsed="false">
      <c r="A7" s="4" t="str">
        <f aca="false">"MAIAN flag rate: "&amp;TEXT(Tool_Wise_Analysis!E4,"0.0%")</f>
        <v>MAIAN flag rate: 100.0%</v>
      </c>
    </row>
    <row r="8" customFormat="false" ht="15" hidden="false" customHeight="true" outlineLevel="0" collapsed="false">
      <c r="A8" s="4" t="str">
        <f aca="false">"Securify flag rate: "&amp;TEXT(Tool_Wise_Analysis!E5,"0.0%")</f>
        <v>Securify flag rate: 74.7%</v>
      </c>
    </row>
    <row r="9" customFormat="false" ht="15" hidden="false" customHeight="true" outlineLevel="0" collapsed="false">
      <c r="A9" s="4" t="str">
        <f aca="false">"Tool agreement (Jaccard, MAIAN vs Securify): "&amp;TEXT(Agreement_Jaccard!B11,"0.0000")</f>
        <v>Tool agreement (Jaccard, MAIAN vs Securify): 0.7471</v>
      </c>
    </row>
    <row r="11" customFormat="false" ht="15.75" hidden="false" customHeight="true" outlineLevel="0" collapsed="false">
      <c r="A11" s="3" t="s">
        <v>2</v>
      </c>
    </row>
    <row r="12" customFormat="false" ht="15" hidden="false" customHeight="true" outlineLevel="0" collapsed="false">
      <c r="A12" s="4" t="str">
        <f aca="false">"Highest-prevalence category: "&amp;INDEX(Per_Vulnerability_Analysis!A4:A14,MATCH(MAX(Per_Vulnerability_Analysis!C4:C14),Per_Vulnerability_Analysis!C4:C14,0))&amp;" ("&amp;TEXT(MAX(Per_Vulnerability_Analysis!E4:E14),"0.0%")&amp;" prevalence)"</f>
        <v>Highest-prevalence category: Ether Leak (100.0% prevalence)</v>
      </c>
    </row>
    <row r="13" customFormat="false" ht="15" hidden="false" customHeight="true" outlineLevel="0" collapsed="false">
      <c r="A13" s="4" t="str">
        <f aca="false">"Only MAIAN and Securify returned detections in this run; 6 of 11 tracked categories show zero hits — see Formula_Definitions / Per_Vulnerability_Analysis."</f>
        <v>Only MAIAN and Securify returned detections in this run; 6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</row>
    <row r="2" customFormat="false" ht="23.25" hidden="false" customHeight="true" outlineLevel="0" collapsed="false">
      <c r="A2" s="6" t="s">
        <v>6</v>
      </c>
      <c r="B2" s="6" t="s">
        <v>7</v>
      </c>
      <c r="C2" s="6" t="s">
        <v>8</v>
      </c>
    </row>
    <row r="3" customFormat="false" ht="23.25" hidden="false" customHeight="tru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17</v>
      </c>
    </row>
    <row r="6" customFormat="false" ht="15" hidden="false" customHeight="true" outlineLevel="0" collapsed="false">
      <c r="A6" s="6" t="s">
        <v>18</v>
      </c>
      <c r="B6" s="6" t="s">
        <v>19</v>
      </c>
      <c r="C6" s="6" t="s">
        <v>20</v>
      </c>
    </row>
    <row r="7" customFormat="false" ht="15" hidden="false" customHeight="true" outlineLevel="0" collapsed="false">
      <c r="A7" s="6" t="s">
        <v>21</v>
      </c>
      <c r="B7" s="6" t="s">
        <v>22</v>
      </c>
      <c r="C7" s="6" t="s">
        <v>23</v>
      </c>
    </row>
    <row r="8" customFormat="false" ht="23.25" hidden="false" customHeight="true" outlineLevel="0" collapsed="false">
      <c r="A8" s="6" t="s">
        <v>24</v>
      </c>
      <c r="B8" s="6" t="s">
        <v>25</v>
      </c>
      <c r="C8" s="6" t="s">
        <v>26</v>
      </c>
    </row>
    <row r="9" customFormat="false" ht="15" hidden="false" customHeight="true" outlineLevel="0" collapsed="false">
      <c r="A9" s="6" t="s">
        <v>27</v>
      </c>
      <c r="B9" s="6" t="s">
        <v>28</v>
      </c>
      <c r="C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30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31</v>
      </c>
      <c r="B3" s="8" t="s">
        <v>32</v>
      </c>
      <c r="C3" s="8" t="s">
        <v>6</v>
      </c>
      <c r="D3" s="8" t="s">
        <v>9</v>
      </c>
      <c r="E3" s="8" t="s">
        <v>12</v>
      </c>
      <c r="F3" s="8" t="s">
        <v>33</v>
      </c>
    </row>
    <row r="4" customFormat="false" ht="15" hidden="false" customHeight="true" outlineLevel="0" collapsed="false">
      <c r="A4" s="9" t="s">
        <v>34</v>
      </c>
      <c r="B4" s="9" t="s">
        <v>35</v>
      </c>
      <c r="C4" s="9" t="n">
        <f aca="false">COUNTIF(Data!E2:E88,"&lt;&gt;")</f>
        <v>65</v>
      </c>
      <c r="D4" s="9" t="n">
        <f aca="false">SUM(Data!C2:C88)</f>
        <v>87</v>
      </c>
      <c r="E4" s="10" t="n">
        <f aca="false">IF(D4=0,0,C4/D4)</f>
        <v>0.747126436781609</v>
      </c>
      <c r="F4" s="11" t="s">
        <v>36</v>
      </c>
    </row>
    <row r="5" customFormat="false" ht="15" hidden="false" customHeight="true" outlineLevel="0" collapsed="false">
      <c r="A5" s="9" t="s">
        <v>37</v>
      </c>
      <c r="B5" s="9" t="s">
        <v>38</v>
      </c>
      <c r="C5" s="9" t="n">
        <f aca="false">COUNTIF(Data!F2:F88,"&lt;&gt;")</f>
        <v>0</v>
      </c>
      <c r="D5" s="9" t="n">
        <f aca="false">SUM(Data!C2:C88)</f>
        <v>87</v>
      </c>
      <c r="E5" s="10" t="n">
        <f aca="false">IF(D5=0,0,C5/D5)</f>
        <v>0</v>
      </c>
      <c r="F5" s="11" t="s">
        <v>39</v>
      </c>
    </row>
    <row r="6" customFormat="false" ht="15" hidden="false" customHeight="true" outlineLevel="0" collapsed="false">
      <c r="A6" s="9" t="s">
        <v>40</v>
      </c>
      <c r="B6" s="9" t="s">
        <v>35</v>
      </c>
      <c r="C6" s="9" t="n">
        <f aca="false">COUNTIF(Data!G2:G88,"&lt;&gt;")</f>
        <v>65</v>
      </c>
      <c r="D6" s="9" t="n">
        <f aca="false">SUM(Data!C2:C88)</f>
        <v>87</v>
      </c>
      <c r="E6" s="10" t="n">
        <f aca="false">IF(D6=0,0,C6/D6)</f>
        <v>0.747126436781609</v>
      </c>
      <c r="F6" s="11" t="s">
        <v>36</v>
      </c>
    </row>
    <row r="7" customFormat="false" ht="15" hidden="false" customHeight="true" outlineLevel="0" collapsed="false">
      <c r="A7" s="9" t="s">
        <v>41</v>
      </c>
      <c r="B7" s="9" t="s">
        <v>38</v>
      </c>
      <c r="C7" s="9" t="n">
        <f aca="false">COUNTIF(Data!H2:H88,"&lt;&gt;")</f>
        <v>0</v>
      </c>
      <c r="D7" s="9" t="n">
        <f aca="false">SUM(Data!C2:C88)</f>
        <v>87</v>
      </c>
      <c r="E7" s="10" t="n">
        <f aca="false">IF(D7=0,0,C7/D7)</f>
        <v>0</v>
      </c>
      <c r="F7" s="11" t="s">
        <v>39</v>
      </c>
    </row>
    <row r="8" customFormat="false" ht="15" hidden="false" customHeight="true" outlineLevel="0" collapsed="false">
      <c r="A8" s="9" t="s">
        <v>42</v>
      </c>
      <c r="B8" s="9" t="s">
        <v>35</v>
      </c>
      <c r="C8" s="9" t="n">
        <f aca="false">COUNTIF(Data!I2:I88,"&lt;&gt;")</f>
        <v>65</v>
      </c>
      <c r="D8" s="9" t="n">
        <f aca="false">SUM(Data!C2:C88)</f>
        <v>87</v>
      </c>
      <c r="E8" s="10" t="n">
        <f aca="false">IF(D8=0,0,C8/D8)</f>
        <v>0.747126436781609</v>
      </c>
      <c r="F8" s="11" t="s">
        <v>36</v>
      </c>
    </row>
    <row r="9" customFormat="false" ht="15" hidden="false" customHeight="true" outlineLevel="0" collapsed="false">
      <c r="A9" s="9" t="s">
        <v>43</v>
      </c>
      <c r="B9" s="9" t="s">
        <v>38</v>
      </c>
      <c r="C9" s="9" t="n">
        <f aca="false">COUNTIF(Data!J2:J88,"&lt;&gt;")</f>
        <v>0</v>
      </c>
      <c r="D9" s="9" t="n">
        <f aca="false">SUM(Data!C2:C88)</f>
        <v>87</v>
      </c>
      <c r="E9" s="10" t="n">
        <f aca="false">IF(D9=0,0,C9/D9)</f>
        <v>0</v>
      </c>
      <c r="F9" s="11" t="s">
        <v>39</v>
      </c>
    </row>
    <row r="10" customFormat="false" ht="15" hidden="false" customHeight="true" outlineLevel="0" collapsed="false">
      <c r="A10" s="9" t="s">
        <v>44</v>
      </c>
      <c r="B10" s="9" t="s">
        <v>35</v>
      </c>
      <c r="C10" s="9" t="n">
        <f aca="false">COUNTIF(Data!K2:K88,"&lt;&gt;")</f>
        <v>65</v>
      </c>
      <c r="D10" s="9" t="n">
        <f aca="false">SUM(Data!C2:C88)</f>
        <v>87</v>
      </c>
      <c r="E10" s="10" t="n">
        <f aca="false">IF(D10=0,0,C10/D10)</f>
        <v>0.747126436781609</v>
      </c>
      <c r="F10" s="11" t="s">
        <v>36</v>
      </c>
    </row>
    <row r="11" customFormat="false" ht="15" hidden="false" customHeight="true" outlineLevel="0" collapsed="false">
      <c r="A11" s="9" t="s">
        <v>45</v>
      </c>
      <c r="B11" s="9" t="s">
        <v>38</v>
      </c>
      <c r="C11" s="9" t="n">
        <f aca="false">COUNTIF(Data!L2:L88,"&lt;&gt;")</f>
        <v>0</v>
      </c>
      <c r="D11" s="9" t="n">
        <f aca="false">SUM(Data!C2:C88)</f>
        <v>87</v>
      </c>
      <c r="E11" s="10" t="n">
        <f aca="false">IF(D11=0,0,C11/D11)</f>
        <v>0</v>
      </c>
      <c r="F11" s="11" t="s">
        <v>39</v>
      </c>
    </row>
    <row r="12" customFormat="false" ht="15" hidden="false" customHeight="true" outlineLevel="0" collapsed="false">
      <c r="A12" s="9" t="s">
        <v>46</v>
      </c>
      <c r="B12" s="9" t="s">
        <v>38</v>
      </c>
      <c r="C12" s="9" t="n">
        <f aca="false">COUNTIF(Data!M2:M88,"&lt;&gt;")</f>
        <v>0</v>
      </c>
      <c r="D12" s="9" t="n">
        <f aca="false">SUM(Data!C2:C88)</f>
        <v>87</v>
      </c>
      <c r="E12" s="10" t="n">
        <f aca="false">IF(D12=0,0,C12/D12)</f>
        <v>0</v>
      </c>
      <c r="F12" s="11" t="s">
        <v>39</v>
      </c>
    </row>
    <row r="13" customFormat="false" ht="15" hidden="false" customHeight="true" outlineLevel="0" collapsed="false">
      <c r="A13" s="9" t="s">
        <v>47</v>
      </c>
      <c r="B13" s="9" t="s">
        <v>38</v>
      </c>
      <c r="C13" s="9" t="n">
        <f aca="false">COUNTIF(Data!N2:N88,"&lt;&gt;")</f>
        <v>0</v>
      </c>
      <c r="D13" s="9" t="n">
        <f aca="false">SUM(Data!C2:C88)</f>
        <v>87</v>
      </c>
      <c r="E13" s="10" t="n">
        <f aca="false">IF(D13=0,0,C13/D13)</f>
        <v>0</v>
      </c>
      <c r="F13" s="11" t="s">
        <v>39</v>
      </c>
    </row>
    <row r="14" customFormat="false" ht="15" hidden="false" customHeight="true" outlineLevel="0" collapsed="false">
      <c r="A14" s="9" t="s">
        <v>48</v>
      </c>
      <c r="B14" s="9" t="s">
        <v>49</v>
      </c>
      <c r="C14" s="9" t="n">
        <f aca="false">COUNTIF(Data!O2:O88,"&lt;&gt;")</f>
        <v>87</v>
      </c>
      <c r="D14" s="9" t="n">
        <f aca="false">SUM(Data!C2:C88)</f>
        <v>87</v>
      </c>
      <c r="E14" s="10" t="n">
        <f aca="false">IF(D14=0,0,C14/D14)</f>
        <v>1</v>
      </c>
      <c r="F14" s="11" t="s">
        <v>36</v>
      </c>
    </row>
    <row r="15" customFormat="false" ht="15" hidden="false" customHeight="true" outlineLevel="0" collapsed="false">
      <c r="A15" s="12" t="s">
        <v>50</v>
      </c>
      <c r="B15" s="12" t="s">
        <v>51</v>
      </c>
      <c r="C15" s="12" t="n">
        <f aca="false">COUNTIFS(Data!C2:C88,1,Data!P2:P88,"Yes")</f>
        <v>87</v>
      </c>
      <c r="D15" s="12" t="n">
        <f aca="false">SUM(Data!C2:C88)</f>
        <v>87</v>
      </c>
      <c r="E15" s="13" t="n">
        <f aca="false">IF(D15=0,0,C15/D15)</f>
        <v>1</v>
      </c>
      <c r="F15" s="14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53</v>
      </c>
      <c r="B1" s="7"/>
      <c r="C1" s="7"/>
      <c r="D1" s="7"/>
    </row>
    <row r="3" customFormat="false" ht="15" hidden="false" customHeight="true" outlineLevel="0" collapsed="false">
      <c r="A3" s="15" t="s">
        <v>54</v>
      </c>
      <c r="B3" s="15"/>
      <c r="C3" s="15"/>
      <c r="D3" s="15"/>
    </row>
    <row r="5" customFormat="false" ht="15" hidden="false" customHeight="true" outlineLevel="0" collapsed="false">
      <c r="A5" s="16" t="s">
        <v>18</v>
      </c>
      <c r="B5" s="16" t="s">
        <v>55</v>
      </c>
      <c r="C5" s="16" t="s">
        <v>56</v>
      </c>
      <c r="D5" s="16" t="s">
        <v>33</v>
      </c>
    </row>
    <row r="6" customFormat="false" ht="15" hidden="false" customHeight="true" outlineLevel="0" collapsed="false">
      <c r="A6" s="9" t="s">
        <v>57</v>
      </c>
      <c r="B6" s="9" t="n">
        <f aca="false">SUMPRODUCT((Data!C2:C88=1)*(((Data!E2:E88&lt;&gt;"")+(Data!G2:G88&lt;&gt;"")+(Data!I2:I88&lt;&gt;"")+(Data!K2:K88&lt;&gt;"")+(Data!O2:O88&lt;&gt;""))=0))</f>
        <v>0</v>
      </c>
      <c r="C6" s="10" t="n">
        <f aca="false">IF(SUM(Data!C2:C88)=0,0,B6/SUM(Data!C2:C88))</f>
        <v>0</v>
      </c>
      <c r="D6" s="17"/>
    </row>
    <row r="7" customFormat="false" ht="15" hidden="false" customHeight="true" outlineLevel="0" collapsed="false">
      <c r="A7" s="9" t="s">
        <v>58</v>
      </c>
      <c r="B7" s="9" t="n">
        <f aca="false">SUMPRODUCT((Data!C2:C88=1)*(((Data!E2:E88&lt;&gt;"")+(Data!G2:G88&lt;&gt;"")+(Data!I2:I88&lt;&gt;"")+(Data!K2:K88&lt;&gt;"")+(Data!O2:O88&lt;&gt;""))=1))</f>
        <v>22</v>
      </c>
      <c r="C7" s="10" t="n">
        <f aca="false">IF(SUM(Data!C2:C88)=0,0,B7/SUM(Data!C2:C88))</f>
        <v>0.252873563218391</v>
      </c>
      <c r="D7" s="17"/>
    </row>
    <row r="8" customFormat="false" ht="15" hidden="false" customHeight="true" outlineLevel="0" collapsed="false">
      <c r="A8" s="9" t="s">
        <v>59</v>
      </c>
      <c r="B8" s="9" t="n">
        <f aca="false">SUMPRODUCT((Data!C2:C88=1)*(((Data!E2:E88&lt;&gt;"")+(Data!G2:G88&lt;&gt;"")+(Data!I2:I88&lt;&gt;"")+(Data!K2:K88&lt;&gt;"")+(Data!O2:O88&lt;&gt;""))=2))</f>
        <v>0</v>
      </c>
      <c r="C8" s="10" t="n">
        <f aca="false">IF(SUM(Data!C2:C88)=0,0,B8/SUM(Data!C2:C88))</f>
        <v>0</v>
      </c>
      <c r="D8" s="17"/>
    </row>
    <row r="9" customFormat="false" ht="15" hidden="false" customHeight="true" outlineLevel="0" collapsed="false">
      <c r="A9" s="9" t="s">
        <v>60</v>
      </c>
      <c r="B9" s="9" t="n">
        <f aca="false">SUMPRODUCT((Data!C2:C88=1)*(((Data!E2:E88&lt;&gt;"")+(Data!G2:G88&lt;&gt;"")+(Data!I2:I88&lt;&gt;"")+(Data!K2:K88&lt;&gt;"")+(Data!O2:O88&lt;&gt;""))=3))</f>
        <v>0</v>
      </c>
      <c r="C9" s="10" t="n">
        <f aca="false">IF(SUM(Data!C2:C88)=0,0,B9/SUM(Data!C2:C88))</f>
        <v>0</v>
      </c>
      <c r="D9" s="17"/>
    </row>
    <row r="10" customFormat="false" ht="15" hidden="false" customHeight="true" outlineLevel="0" collapsed="false">
      <c r="A10" s="9" t="s">
        <v>61</v>
      </c>
      <c r="B10" s="9" t="n">
        <f aca="false">SUMPRODUCT((Data!C2:C88=1)*(((Data!E2:E88&lt;&gt;"")+(Data!G2:G88&lt;&gt;"")+(Data!I2:I88&lt;&gt;"")+(Data!K2:K88&lt;&gt;"")+(Data!O2:O88&lt;&gt;""))=4))</f>
        <v>0</v>
      </c>
      <c r="C10" s="10" t="n">
        <f aca="false">IF(SUM(Data!C2:C88)=0,0,B10/SUM(Data!C2:C88))</f>
        <v>0</v>
      </c>
      <c r="D10" s="17"/>
    </row>
    <row r="11" customFormat="false" ht="15" hidden="false" customHeight="true" outlineLevel="0" collapsed="false">
      <c r="A11" s="9" t="s">
        <v>62</v>
      </c>
      <c r="B11" s="9" t="n">
        <f aca="false">SUMPRODUCT((Data!C2:C88=1)*(((Data!E2:E88&lt;&gt;"")+(Data!G2:G88&lt;&gt;"")+(Data!I2:I88&lt;&gt;"")+(Data!K2:K88&lt;&gt;"")+(Data!O2:O88&lt;&gt;""))=5))</f>
        <v>65</v>
      </c>
      <c r="C11" s="10" t="n">
        <f aca="false">IF(SUM(Data!C2:C88)=0,0,B11/SUM(Data!C2:C88))</f>
        <v>0.747126436781609</v>
      </c>
      <c r="D11" s="17"/>
    </row>
    <row r="12" customFormat="false" ht="15" hidden="false" customHeight="true" outlineLevel="0" collapsed="false">
      <c r="A12" s="12" t="s">
        <v>63</v>
      </c>
      <c r="B12" s="12" t="n">
        <f aca="false">SUM(B6:B11)</f>
        <v>87</v>
      </c>
    </row>
    <row r="14" customFormat="false" ht="15" hidden="false" customHeight="true" outlineLevel="0" collapsed="false">
      <c r="A14" s="9" t="s">
        <v>64</v>
      </c>
      <c r="B14" s="9" t="n">
        <f aca="false">COUNTIF(Data!E2:E88,"&lt;&gt;")+COUNTIF(Data!F2:F88,"&lt;&gt;")+COUNTIF(Data!G2:G88,"&lt;&gt;")+COUNTIF(Data!H2:H88,"&lt;&gt;")+COUNTIF(Data!I2:I88,"&lt;&gt;")+COUNTIF(Data!J2:J88,"&lt;&gt;")+COUNTIF(Data!K2:K88,"&lt;&gt;")+COUNTIF(Data!L2:L88,"&lt;&gt;")+COUNTIF(Data!M2:M88,"&lt;&gt;")+COUNTIF(Data!N2:N88,"&lt;&gt;")+COUNTIF(Data!O2:O88,"&lt;&gt;")</f>
        <v>347</v>
      </c>
    </row>
    <row r="15" customFormat="false" ht="15" hidden="false" customHeight="true" outlineLevel="0" collapsed="false">
      <c r="A15" s="9" t="s">
        <v>65</v>
      </c>
      <c r="B15" s="18" t="n">
        <f aca="false">B14/SUM(Data!C2:C88)</f>
        <v>3.98850574712644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66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67</v>
      </c>
      <c r="B3" s="8" t="s">
        <v>68</v>
      </c>
      <c r="C3" s="8" t="s">
        <v>69</v>
      </c>
      <c r="D3" s="8" t="s">
        <v>9</v>
      </c>
      <c r="E3" s="8" t="s">
        <v>70</v>
      </c>
      <c r="F3" s="8" t="s">
        <v>33</v>
      </c>
    </row>
    <row r="4" customFormat="false" ht="15" hidden="false" customHeight="true" outlineLevel="0" collapsed="false">
      <c r="A4" s="9" t="s">
        <v>49</v>
      </c>
      <c r="B4" s="9" t="s">
        <v>48</v>
      </c>
      <c r="C4" s="9" t="n">
        <f aca="false">SUM(Data!Q2:Q88)</f>
        <v>87</v>
      </c>
      <c r="D4" s="9" t="n">
        <f aca="false">SUM(Data!C2:C88)</f>
        <v>87</v>
      </c>
      <c r="E4" s="10" t="n">
        <f aca="false">IF(D4=0,0,C4/D4)</f>
        <v>1</v>
      </c>
      <c r="F4" s="11" t="s">
        <v>71</v>
      </c>
    </row>
    <row r="5" customFormat="false" ht="15" hidden="false" customHeight="true" outlineLevel="0" collapsed="false">
      <c r="A5" s="9" t="s">
        <v>35</v>
      </c>
      <c r="B5" s="9" t="s">
        <v>72</v>
      </c>
      <c r="C5" s="9" t="n">
        <f aca="false">SUM(Data!R2:R88)</f>
        <v>65</v>
      </c>
      <c r="D5" s="9" t="n">
        <f aca="false">SUM(Data!C2:C88)</f>
        <v>87</v>
      </c>
      <c r="E5" s="10" t="n">
        <f aca="false">IF(D5=0,0,C5/D5)</f>
        <v>0.747126436781609</v>
      </c>
      <c r="F5" s="11"/>
    </row>
    <row r="6" customFormat="false" ht="15" hidden="false" customHeight="true" outlineLevel="0" collapsed="false">
      <c r="A6" s="9" t="s">
        <v>73</v>
      </c>
      <c r="B6" s="19" t="s">
        <v>74</v>
      </c>
      <c r="C6" s="9" t="n">
        <v>0</v>
      </c>
      <c r="D6" s="9" t="n">
        <f aca="false">SUM(Data!C2:C88)</f>
        <v>87</v>
      </c>
      <c r="E6" s="10" t="n">
        <v>0</v>
      </c>
      <c r="F6" s="11" t="s">
        <v>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76</v>
      </c>
      <c r="B1" s="7"/>
      <c r="C1" s="7"/>
      <c r="D1" s="7"/>
    </row>
    <row r="3" customFormat="false" ht="15" hidden="false" customHeight="true" outlineLevel="0" collapsed="false">
      <c r="A3" s="9" t="s">
        <v>77</v>
      </c>
      <c r="B3" s="9" t="n">
        <f aca="false">COUNTA(Data!A2:A88)</f>
        <v>87</v>
      </c>
      <c r="C3" s="17"/>
      <c r="D3" s="11"/>
    </row>
    <row r="4" customFormat="false" ht="15" hidden="false" customHeight="true" outlineLevel="0" collapsed="false">
      <c r="A4" s="9" t="s">
        <v>78</v>
      </c>
      <c r="B4" s="9" t="n">
        <v>22</v>
      </c>
      <c r="C4" s="17"/>
      <c r="D4" s="11"/>
    </row>
    <row r="5" customFormat="false" ht="15" hidden="false" customHeight="true" outlineLevel="0" collapsed="false">
      <c r="A5" s="9" t="s">
        <v>79</v>
      </c>
      <c r="B5" s="9" t="n">
        <f aca="false">SUM(Data!C2:C88)</f>
        <v>87</v>
      </c>
      <c r="C5" s="17"/>
      <c r="D5" s="11"/>
    </row>
    <row r="6" customFormat="false" ht="15" hidden="false" customHeight="true" outlineLevel="0" collapsed="false">
      <c r="A6" s="9" t="s">
        <v>80</v>
      </c>
      <c r="B6" s="9" t="n">
        <f aca="false">COUNTA(Data!A2:A88)-SUM(Data!C2:C88)</f>
        <v>0</v>
      </c>
      <c r="C6" s="17"/>
      <c r="D6" s="11"/>
    </row>
    <row r="7" customFormat="false" ht="15" hidden="false" customHeight="true" outlineLevel="0" collapsed="false">
      <c r="A7" s="9" t="s">
        <v>81</v>
      </c>
      <c r="B7" s="9" t="n">
        <f aca="false">SUMPRODUCT((Data!C2:C88=1)*(Data!D2:D88=0))</f>
        <v>87</v>
      </c>
      <c r="C7" s="17"/>
      <c r="D7" s="11" t="s">
        <v>82</v>
      </c>
    </row>
    <row r="8" customFormat="false" ht="15" hidden="false" customHeight="true" outlineLevel="0" collapsed="false">
      <c r="A8" s="9" t="s">
        <v>83</v>
      </c>
      <c r="B8" s="20" t="n">
        <f aca="false">IF(SUMPRODUCT((Data!C2:C88=1)*(Data!D2:D88&gt;0))=0,0,SUMIF(Data!C2:C88,1,Data!D2:D88)/SUMPRODUCT((Data!C2:C88=1)*(Data!D2:D88&gt;0)))</f>
        <v>0</v>
      </c>
      <c r="C8" s="17"/>
      <c r="D8" s="11" t="s">
        <v>84</v>
      </c>
    </row>
    <row r="9" customFormat="false" ht="15" hidden="false" customHeight="true" outlineLevel="0" collapsed="false">
      <c r="A9" s="9" t="s">
        <v>85</v>
      </c>
      <c r="B9" s="9" t="n">
        <f aca="false">_xlfn.MINIFS(Data!D2:D88,Data!C2:C88,1,Data!D2:D88,"&gt;0")</f>
        <v>0</v>
      </c>
      <c r="C9" s="17"/>
      <c r="D9" s="11"/>
    </row>
    <row r="10" customFormat="false" ht="15" hidden="false" customHeight="true" outlineLevel="0" collapsed="false">
      <c r="A10" s="9" t="s">
        <v>86</v>
      </c>
      <c r="B10" s="9" t="n">
        <f aca="false">_xlfn.MAXIFS(Data!D2:D88,Data!C2:C88,1)</f>
        <v>0</v>
      </c>
      <c r="C10" s="17"/>
      <c r="D10" s="11"/>
    </row>
    <row r="12" customFormat="false" ht="15" hidden="false" customHeight="true" outlineLevel="0" collapsed="false">
      <c r="A12" s="21" t="s">
        <v>87</v>
      </c>
      <c r="B12" s="21"/>
      <c r="C12" s="21"/>
      <c r="D12" s="21"/>
    </row>
    <row r="13" customFormat="false" ht="15" hidden="false" customHeight="true" outlineLevel="0" collapsed="false">
      <c r="A13" s="16" t="s">
        <v>88</v>
      </c>
      <c r="B13" s="16" t="s">
        <v>89</v>
      </c>
      <c r="C13" s="16" t="s">
        <v>90</v>
      </c>
      <c r="D13" s="16" t="s">
        <v>91</v>
      </c>
    </row>
    <row r="14" customFormat="false" ht="15" hidden="false" customHeight="true" outlineLevel="0" collapsed="false">
      <c r="A14" s="9" t="s">
        <v>92</v>
      </c>
      <c r="B14" s="9" t="n">
        <f aca="false">COUNTIF(Data!B2:B88,A14)</f>
        <v>3</v>
      </c>
      <c r="C14" s="9" t="n">
        <f aca="false">COUNTIFS(Data!B2:B88,A14,Data!C2:C88,1)</f>
        <v>3</v>
      </c>
      <c r="D14" s="10" t="n">
        <f aca="false">IF(C14=0,0,(COUNTIFS(Data!B2:B88,A14,Data!C2:C88,1,Data!P2:P88,"Yes"))/C14)</f>
        <v>1</v>
      </c>
    </row>
    <row r="15" customFormat="false" ht="15" hidden="false" customHeight="true" outlineLevel="0" collapsed="false">
      <c r="A15" s="9" t="s">
        <v>93</v>
      </c>
      <c r="B15" s="9" t="n">
        <f aca="false">COUNTIF(Data!B2:B88,A15)</f>
        <v>5</v>
      </c>
      <c r="C15" s="9" t="n">
        <f aca="false">COUNTIFS(Data!B2:B88,A15,Data!C2:C88,1)</f>
        <v>5</v>
      </c>
      <c r="D15" s="10" t="n">
        <f aca="false">IF(C15=0,0,(COUNTIFS(Data!B2:B88,A15,Data!C2:C88,1,Data!P2:P88,"Yes"))/C15)</f>
        <v>1</v>
      </c>
    </row>
    <row r="16" customFormat="false" ht="15" hidden="false" customHeight="true" outlineLevel="0" collapsed="false">
      <c r="A16" s="9" t="s">
        <v>94</v>
      </c>
      <c r="B16" s="9" t="n">
        <f aca="false">COUNTIF(Data!B2:B88,A16)</f>
        <v>4</v>
      </c>
      <c r="C16" s="9" t="n">
        <f aca="false">COUNTIFS(Data!B2:B88,A16,Data!C2:C88,1)</f>
        <v>4</v>
      </c>
      <c r="D16" s="10" t="n">
        <f aca="false">IF(C16=0,0,(COUNTIFS(Data!B2:B88,A16,Data!C2:C88,1,Data!P2:P88,"Yes"))/C16)</f>
        <v>1</v>
      </c>
    </row>
    <row r="17" customFormat="false" ht="15" hidden="false" customHeight="true" outlineLevel="0" collapsed="false">
      <c r="A17" s="9" t="s">
        <v>95</v>
      </c>
      <c r="B17" s="9" t="n">
        <f aca="false">COUNTIF(Data!B2:B88,A17)</f>
        <v>3</v>
      </c>
      <c r="C17" s="9" t="n">
        <f aca="false">COUNTIFS(Data!B2:B88,A17,Data!C2:C88,1)</f>
        <v>3</v>
      </c>
      <c r="D17" s="10" t="n">
        <f aca="false">IF(C17=0,0,(COUNTIFS(Data!B2:B88,A17,Data!C2:C88,1,Data!P2:P88,"Yes"))/C17)</f>
        <v>1</v>
      </c>
    </row>
    <row r="18" customFormat="false" ht="15" hidden="false" customHeight="true" outlineLevel="0" collapsed="false">
      <c r="A18" s="9" t="s">
        <v>96</v>
      </c>
      <c r="B18" s="9" t="n">
        <f aca="false">COUNTIF(Data!B2:B88,A18)</f>
        <v>4</v>
      </c>
      <c r="C18" s="9" t="n">
        <f aca="false">COUNTIFS(Data!B2:B88,A18,Data!C2:C88,1)</f>
        <v>4</v>
      </c>
      <c r="D18" s="10" t="n">
        <f aca="false">IF(C18=0,0,(COUNTIFS(Data!B2:B88,A18,Data!C2:C88,1,Data!P2:P88,"Yes"))/C18)</f>
        <v>1</v>
      </c>
    </row>
    <row r="19" customFormat="false" ht="15" hidden="false" customHeight="true" outlineLevel="0" collapsed="false">
      <c r="A19" s="9" t="s">
        <v>97</v>
      </c>
      <c r="B19" s="9" t="n">
        <f aca="false">COUNTIF(Data!B2:B88,A19)</f>
        <v>4</v>
      </c>
      <c r="C19" s="9" t="n">
        <f aca="false">COUNTIFS(Data!B2:B88,A19,Data!C2:C88,1)</f>
        <v>4</v>
      </c>
      <c r="D19" s="10" t="n">
        <f aca="false">IF(C19=0,0,(COUNTIFS(Data!B2:B88,A19,Data!C2:C88,1,Data!P2:P88,"Yes"))/C19)</f>
        <v>1</v>
      </c>
    </row>
    <row r="20" customFormat="false" ht="15" hidden="false" customHeight="true" outlineLevel="0" collapsed="false">
      <c r="A20" s="9" t="s">
        <v>98</v>
      </c>
      <c r="B20" s="9" t="n">
        <f aca="false">COUNTIF(Data!B2:B88,A20)</f>
        <v>3</v>
      </c>
      <c r="C20" s="9" t="n">
        <f aca="false">COUNTIFS(Data!B2:B88,A20,Data!C2:C88,1)</f>
        <v>3</v>
      </c>
      <c r="D20" s="10" t="n">
        <f aca="false">IF(C20=0,0,(COUNTIFS(Data!B2:B88,A20,Data!C2:C88,1,Data!P2:P88,"Yes"))/C20)</f>
        <v>1</v>
      </c>
    </row>
    <row r="21" customFormat="false" ht="15" hidden="false" customHeight="true" outlineLevel="0" collapsed="false">
      <c r="A21" s="9" t="s">
        <v>99</v>
      </c>
      <c r="B21" s="9" t="n">
        <f aca="false">COUNTIF(Data!B2:B88,A21)</f>
        <v>4</v>
      </c>
      <c r="C21" s="9" t="n">
        <f aca="false">COUNTIFS(Data!B2:B88,A21,Data!C2:C88,1)</f>
        <v>4</v>
      </c>
      <c r="D21" s="10" t="n">
        <f aca="false">IF(C21=0,0,(COUNTIFS(Data!B2:B88,A21,Data!C2:C88,1,Data!P2:P88,"Yes"))/C21)</f>
        <v>1</v>
      </c>
    </row>
    <row r="22" customFormat="false" ht="15" hidden="false" customHeight="true" outlineLevel="0" collapsed="false">
      <c r="A22" s="9" t="s">
        <v>100</v>
      </c>
      <c r="B22" s="9" t="n">
        <f aca="false">COUNTIF(Data!B2:B88,A22)</f>
        <v>5</v>
      </c>
      <c r="C22" s="9" t="n">
        <f aca="false">COUNTIFS(Data!B2:B88,A22,Data!C2:C88,1)</f>
        <v>5</v>
      </c>
      <c r="D22" s="10" t="n">
        <f aca="false">IF(C22=0,0,(COUNTIFS(Data!B2:B88,A22,Data!C2:C88,1,Data!P2:P88,"Yes"))/C22)</f>
        <v>1</v>
      </c>
    </row>
    <row r="23" customFormat="false" ht="15" hidden="false" customHeight="true" outlineLevel="0" collapsed="false">
      <c r="A23" s="9" t="s">
        <v>101</v>
      </c>
      <c r="B23" s="9" t="n">
        <f aca="false">COUNTIF(Data!B2:B88,A23)</f>
        <v>4</v>
      </c>
      <c r="C23" s="9" t="n">
        <f aca="false">COUNTIFS(Data!B2:B88,A23,Data!C2:C88,1)</f>
        <v>4</v>
      </c>
      <c r="D23" s="10" t="n">
        <f aca="false">IF(C23=0,0,(COUNTIFS(Data!B2:B88,A23,Data!C2:C88,1,Data!P2:P88,"Yes"))/C23)</f>
        <v>1</v>
      </c>
    </row>
    <row r="24" customFormat="false" ht="15" hidden="false" customHeight="true" outlineLevel="0" collapsed="false">
      <c r="A24" s="9" t="s">
        <v>102</v>
      </c>
      <c r="B24" s="9" t="n">
        <f aca="false">COUNTIF(Data!B2:B88,A24)</f>
        <v>4</v>
      </c>
      <c r="C24" s="9" t="n">
        <f aca="false">COUNTIFS(Data!B2:B88,A24,Data!C2:C88,1)</f>
        <v>4</v>
      </c>
      <c r="D24" s="10" t="n">
        <f aca="false">IF(C24=0,0,(COUNTIFS(Data!B2:B88,A24,Data!C2:C88,1,Data!P2:P88,"Yes"))/C24)</f>
        <v>1</v>
      </c>
    </row>
    <row r="25" customFormat="false" ht="15" hidden="false" customHeight="true" outlineLevel="0" collapsed="false">
      <c r="A25" s="9" t="s">
        <v>103</v>
      </c>
      <c r="B25" s="9" t="n">
        <f aca="false">COUNTIF(Data!B2:B88,A25)</f>
        <v>4</v>
      </c>
      <c r="C25" s="9" t="n">
        <f aca="false">COUNTIFS(Data!B2:B88,A25,Data!C2:C88,1)</f>
        <v>4</v>
      </c>
      <c r="D25" s="10" t="n">
        <f aca="false">IF(C25=0,0,(COUNTIFS(Data!B2:B88,A25,Data!C2:C88,1,Data!P2:P88,"Yes"))/C25)</f>
        <v>1</v>
      </c>
    </row>
    <row r="26" customFormat="false" ht="15" hidden="false" customHeight="true" outlineLevel="0" collapsed="false">
      <c r="A26" s="9" t="s">
        <v>104</v>
      </c>
      <c r="B26" s="9" t="n">
        <f aca="false">COUNTIF(Data!B2:B88,A26)</f>
        <v>5</v>
      </c>
      <c r="C26" s="9" t="n">
        <f aca="false">COUNTIFS(Data!B2:B88,A26,Data!C2:C88,1)</f>
        <v>5</v>
      </c>
      <c r="D26" s="10" t="n">
        <f aca="false">IF(C26=0,0,(COUNTIFS(Data!B2:B88,A26,Data!C2:C88,1,Data!P2:P88,"Yes"))/C26)</f>
        <v>1</v>
      </c>
    </row>
    <row r="27" customFormat="false" ht="15" hidden="false" customHeight="true" outlineLevel="0" collapsed="false">
      <c r="A27" s="9" t="s">
        <v>105</v>
      </c>
      <c r="B27" s="9" t="n">
        <f aca="false">COUNTIF(Data!B2:B88,A27)</f>
        <v>5</v>
      </c>
      <c r="C27" s="9" t="n">
        <f aca="false">COUNTIFS(Data!B2:B88,A27,Data!C2:C88,1)</f>
        <v>5</v>
      </c>
      <c r="D27" s="10" t="n">
        <f aca="false">IF(C27=0,0,(COUNTIFS(Data!B2:B88,A27,Data!C2:C88,1,Data!P2:P88,"Yes"))/C27)</f>
        <v>1</v>
      </c>
    </row>
    <row r="28" customFormat="false" ht="15" hidden="false" customHeight="true" outlineLevel="0" collapsed="false">
      <c r="A28" s="9" t="s">
        <v>106</v>
      </c>
      <c r="B28" s="9" t="n">
        <f aca="false">COUNTIF(Data!B2:B88,A28)</f>
        <v>4</v>
      </c>
      <c r="C28" s="9" t="n">
        <f aca="false">COUNTIFS(Data!B2:B88,A28,Data!C2:C88,1)</f>
        <v>4</v>
      </c>
      <c r="D28" s="10" t="n">
        <f aca="false">IF(C28=0,0,(COUNTIFS(Data!B2:B88,A28,Data!C2:C88,1,Data!P2:P88,"Yes"))/C28)</f>
        <v>1</v>
      </c>
    </row>
    <row r="29" customFormat="false" ht="15" hidden="false" customHeight="true" outlineLevel="0" collapsed="false">
      <c r="A29" s="9" t="s">
        <v>107</v>
      </c>
      <c r="B29" s="9" t="n">
        <f aca="false">COUNTIF(Data!B2:B88,A29)</f>
        <v>5</v>
      </c>
      <c r="C29" s="9" t="n">
        <f aca="false">COUNTIFS(Data!B2:B88,A29,Data!C2:C88,1)</f>
        <v>5</v>
      </c>
      <c r="D29" s="10" t="n">
        <f aca="false">IF(C29=0,0,(COUNTIFS(Data!B2:B88,A29,Data!C2:C88,1,Data!P2:P88,"Yes"))/C29)</f>
        <v>1</v>
      </c>
    </row>
    <row r="30" customFormat="false" ht="15" hidden="false" customHeight="true" outlineLevel="0" collapsed="false">
      <c r="A30" s="9" t="s">
        <v>108</v>
      </c>
      <c r="B30" s="9" t="n">
        <f aca="false">COUNTIF(Data!B2:B88,A30)</f>
        <v>5</v>
      </c>
      <c r="C30" s="9" t="n">
        <f aca="false">COUNTIFS(Data!B2:B88,A30,Data!C2:C88,1)</f>
        <v>5</v>
      </c>
      <c r="D30" s="10" t="n">
        <f aca="false">IF(C30=0,0,(COUNTIFS(Data!B2:B88,A30,Data!C2:C88,1,Data!P2:P88,"Yes"))/C30)</f>
        <v>1</v>
      </c>
    </row>
    <row r="31" customFormat="false" ht="15" hidden="false" customHeight="true" outlineLevel="0" collapsed="false">
      <c r="A31" s="9" t="s">
        <v>109</v>
      </c>
      <c r="B31" s="9" t="n">
        <f aca="false">COUNTIF(Data!B2:B88,A31)</f>
        <v>2</v>
      </c>
      <c r="C31" s="9" t="n">
        <f aca="false">COUNTIFS(Data!B2:B88,A31,Data!C2:C88,1)</f>
        <v>2</v>
      </c>
      <c r="D31" s="10" t="n">
        <f aca="false">IF(C31=0,0,(COUNTIFS(Data!B2:B88,A31,Data!C2:C88,1,Data!P2:P88,"Yes"))/C31)</f>
        <v>1</v>
      </c>
    </row>
    <row r="32" customFormat="false" ht="15" hidden="false" customHeight="true" outlineLevel="0" collapsed="false">
      <c r="A32" s="9" t="s">
        <v>110</v>
      </c>
      <c r="B32" s="9" t="n">
        <f aca="false">COUNTIF(Data!B2:B88,A32)</f>
        <v>4</v>
      </c>
      <c r="C32" s="9" t="n">
        <f aca="false">COUNTIFS(Data!B2:B88,A32,Data!C2:C88,1)</f>
        <v>4</v>
      </c>
      <c r="D32" s="10" t="n">
        <f aca="false">IF(C32=0,0,(COUNTIFS(Data!B2:B88,A32,Data!C2:C88,1,Data!P2:P88,"Yes"))/C32)</f>
        <v>1</v>
      </c>
    </row>
    <row r="33" customFormat="false" ht="15" hidden="false" customHeight="true" outlineLevel="0" collapsed="false">
      <c r="A33" s="9" t="s">
        <v>111</v>
      </c>
      <c r="B33" s="9" t="n">
        <f aca="false">COUNTIF(Data!B2:B88,A33)</f>
        <v>4</v>
      </c>
      <c r="C33" s="9" t="n">
        <f aca="false">COUNTIFS(Data!B2:B88,A33,Data!C2:C88,1)</f>
        <v>4</v>
      </c>
      <c r="D33" s="10" t="n">
        <f aca="false">IF(C33=0,0,(COUNTIFS(Data!B2:B88,A33,Data!C2:C88,1,Data!P2:P88,"Yes"))/C33)</f>
        <v>1</v>
      </c>
    </row>
    <row r="34" customFormat="false" ht="15" hidden="false" customHeight="true" outlineLevel="0" collapsed="false">
      <c r="A34" s="9" t="s">
        <v>112</v>
      </c>
      <c r="B34" s="9" t="n">
        <f aca="false">COUNTIF(Data!B2:B88,A34)</f>
        <v>3</v>
      </c>
      <c r="C34" s="9" t="n">
        <f aca="false">COUNTIFS(Data!B2:B88,A34,Data!C2:C88,1)</f>
        <v>3</v>
      </c>
      <c r="D34" s="10" t="n">
        <f aca="false">IF(C34=0,0,(COUNTIFS(Data!B2:B88,A34,Data!C2:C88,1,Data!P2:P88,"Yes"))/C34)</f>
        <v>1</v>
      </c>
    </row>
    <row r="35" customFormat="false" ht="15" hidden="false" customHeight="true" outlineLevel="0" collapsed="false">
      <c r="A35" s="9" t="s">
        <v>113</v>
      </c>
      <c r="B35" s="9" t="n">
        <f aca="false">COUNTIF(Data!B2:B88,A35)</f>
        <v>3</v>
      </c>
      <c r="C35" s="9" t="n">
        <f aca="false">COUNTIFS(Data!B2:B88,A35,Data!C2:C88,1)</f>
        <v>3</v>
      </c>
      <c r="D35" s="10" t="n">
        <f aca="false">IF(C35=0,0,(COUNTIFS(Data!B2:B88,A35,Data!C2:C88,1,Data!P2:P88,"Yes"))/C35)</f>
        <v>1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114</v>
      </c>
      <c r="B1" s="7"/>
      <c r="C1" s="7"/>
      <c r="D1" s="7"/>
    </row>
    <row r="2" customFormat="false" ht="15" hidden="false" customHeight="true" outlineLevel="0" collapsed="false">
      <c r="A2" s="15" t="s">
        <v>115</v>
      </c>
      <c r="B2" s="15"/>
      <c r="C2" s="15"/>
      <c r="D2" s="15"/>
    </row>
    <row r="4" customFormat="false" ht="15" hidden="false" customHeight="true" outlineLevel="0" collapsed="false">
      <c r="A4" s="21" t="s">
        <v>116</v>
      </c>
      <c r="B4" s="21"/>
      <c r="C4" s="21"/>
      <c r="D4" s="21"/>
    </row>
    <row r="5" customFormat="false" ht="15" hidden="false" customHeight="true" outlineLevel="0" collapsed="false">
      <c r="A5" s="16" t="s">
        <v>117</v>
      </c>
      <c r="B5" s="16" t="s">
        <v>118</v>
      </c>
      <c r="C5" s="16" t="s">
        <v>56</v>
      </c>
      <c r="D5" s="16" t="s">
        <v>119</v>
      </c>
    </row>
    <row r="6" customFormat="false" ht="15" hidden="false" customHeight="true" outlineLevel="0" collapsed="false">
      <c r="A6" s="9" t="s">
        <v>120</v>
      </c>
      <c r="B6" s="9" t="n">
        <f aca="false">SUMPRODUCT((Data!C2:C88=1)*(Data!Q2:Q88=1)*(Data!R2:R88=1))</f>
        <v>65</v>
      </c>
      <c r="C6" s="10" t="n">
        <f aca="false">IF(SUM(Data!C2:C88)=0,0,B6/SUM(Data!C2:C88))</f>
        <v>0.747126436781609</v>
      </c>
      <c r="D6" s="11" t="s">
        <v>121</v>
      </c>
    </row>
    <row r="7" customFormat="false" ht="15" hidden="false" customHeight="true" outlineLevel="0" collapsed="false">
      <c r="A7" s="9" t="s">
        <v>122</v>
      </c>
      <c r="B7" s="9" t="n">
        <f aca="false">SUMPRODUCT((Data!C2:C88=1)*(Data!Q2:Q88=1)*(Data!R2:R88=0))</f>
        <v>22</v>
      </c>
      <c r="C7" s="10" t="n">
        <f aca="false">IF(SUM(Data!C2:C88)=0,0,B7/SUM(Data!C2:C88))</f>
        <v>0.252873563218391</v>
      </c>
      <c r="D7" s="11" t="s">
        <v>123</v>
      </c>
    </row>
    <row r="8" customFormat="false" ht="15" hidden="false" customHeight="true" outlineLevel="0" collapsed="false">
      <c r="A8" s="9" t="s">
        <v>124</v>
      </c>
      <c r="B8" s="9" t="n">
        <f aca="false">SUMPRODUCT((Data!C2:C88=1)*(Data!Q2:Q88=0)*(Data!R2:R88=1))</f>
        <v>0</v>
      </c>
      <c r="C8" s="10" t="n">
        <f aca="false">IF(SUM(Data!C2:C88)=0,0,B8/SUM(Data!C2:C88))</f>
        <v>0</v>
      </c>
      <c r="D8" s="11" t="s">
        <v>125</v>
      </c>
    </row>
    <row r="9" customFormat="false" ht="15" hidden="false" customHeight="true" outlineLevel="0" collapsed="false">
      <c r="A9" s="9" t="s">
        <v>126</v>
      </c>
      <c r="B9" s="9" t="n">
        <f aca="false">SUMPRODUCT((Data!C2:C88=1)*(Data!Q2:Q88=0)*(Data!R2:R88=0))</f>
        <v>0</v>
      </c>
      <c r="C9" s="10" t="n">
        <f aca="false">IF(SUM(Data!C2:C88)=0,0,B9/SUM(Data!C2:C88))</f>
        <v>0</v>
      </c>
      <c r="D9" s="11" t="s">
        <v>127</v>
      </c>
    </row>
    <row r="10" customFormat="false" ht="15" hidden="false" customHeight="true" outlineLevel="0" collapsed="false">
      <c r="A10" s="22" t="s">
        <v>128</v>
      </c>
      <c r="B10" s="22" t="n">
        <f aca="false">B6+B7+B8</f>
        <v>87</v>
      </c>
    </row>
    <row r="11" customFormat="false" ht="15" hidden="false" customHeight="true" outlineLevel="0" collapsed="false">
      <c r="A11" s="12" t="s">
        <v>129</v>
      </c>
      <c r="B11" s="23" t="n">
        <f aca="false">IF(B10=0,0,B6/B10)</f>
        <v>0.747126436781609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130</v>
      </c>
    </row>
    <row r="3" customFormat="false" ht="30" hidden="false" customHeight="true" outlineLevel="0" collapsed="false">
      <c r="A3" s="4" t="str">
        <f aca="false">"1. Bytecode resolution: "&amp;SUM(Data!C2:C88)&amp;" of "&amp;COUNTA(Data!A2:A88)&amp;" queried addresses ("&amp;TEXT(SUM(Data!C2:C88)/COUNTA(Data!A2:A88),"0.0%")&amp;") resolved to deployed bytecode; the rest are EOAs, unverified, or not found on-chain."</f>
        <v>1. Bytecode resolution: 87 of 87 queried addresses (100.0%) resolved to deployed bytecode; the rest are EOAs, unverified, or not found on-chain.</v>
      </c>
    </row>
    <row r="4" customFormat="false" ht="30" hidden="false" customHeight="true" outlineLevel="0" collapsed="false">
      <c r="A4" s="4" t="str">
        <f aca="false">"2. Detection coverage: only MAIAN and Securify produced any detections. Integer, Delegatecall, Timestamp, DoS, Selfdestruct, Locked Ether all show zero hits in this bytecode run."</f>
        <v>2. Detection coverage: only MAIAN and Securify produced any detections. Integer, Delegatecall, Timestamp, DoS, Selfdestruct, Locked Ether all show zero hits in this bytecode run.</v>
      </c>
    </row>
    <row r="5" customFormat="false" ht="30" hidden="false" customHeight="true" outlineLevel="0" collapsed="false">
      <c r="A5" s="4" t="str">
        <f aca="false">"3. Securify flag rate ("&amp;TEXT(Tool_Wise_Analysis!E5,"0.0%")&amp;") vs MAIAN flag rate ("&amp;TEXT(Tool_Wise_Analysis!E4,"0.0%")&amp;") among resolved contracts."</f>
        <v>3. Securify flag rate (74.7%) vs MAIAN flag rate (100.0%) among resolved contracts.</v>
      </c>
    </row>
    <row r="6" customFormat="false" ht="30" hidden="false" customHeight="true" outlineLevel="0" collapsed="false">
      <c r="A6" s="4" t="str">
        <f aca="false">"4. Tool overlap: Jaccard(MAIAN, Securify) = "&amp;TEXT(Agreement_Jaccard!B11,"0.0000")&amp;" — "&amp;Agreement_Jaccard!B6&amp;" contracts triggered both tools, "&amp;Agreement_Jaccard!B7&amp;" only MAIAN, "&amp;Agreement_Jaccard!B8&amp;" only Securify."</f>
        <v>4. Tool overlap: Jaccard(MAIAN, Securify) = 0.7471 — 65 contracts triggered both tools, 22 only MAIAN, 0 only Securify.</v>
      </c>
    </row>
    <row r="7" customFormat="false" ht="30" hidden="false" customHeight="true" outlineLevel="0" collapsed="false">
      <c r="A7" s="4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87 of 87 resolved contracts (100.0%)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.75" hidden="false" customHeight="true" outlineLevel="0" collapsed="false">
      <c r="A1" s="24" t="s">
        <v>131</v>
      </c>
    </row>
    <row r="2" customFormat="false" ht="21.75" hidden="false" customHeight="true" outlineLevel="0" collapsed="false">
      <c r="A2" s="25" t="s">
        <v>132</v>
      </c>
    </row>
    <row r="4" customFormat="false" ht="15.75" hidden="false" customHeight="true" outlineLevel="0" collapsed="false">
      <c r="A4" s="26" t="s">
        <v>133</v>
      </c>
    </row>
    <row r="5" customFormat="false" ht="31.5" hidden="false" customHeight="true" outlineLevel="0" collapsed="false">
      <c r="A5" s="27" t="s">
        <v>134</v>
      </c>
    </row>
    <row r="6" customFormat="false" ht="48" hidden="false" customHeight="true" outlineLevel="0" collapsed="false">
      <c r="A6" s="27" t="s">
        <v>135</v>
      </c>
    </row>
    <row r="8" customFormat="false" ht="15.75" hidden="false" customHeight="true" outlineLevel="0" collapsed="false">
      <c r="A8" s="26" t="s">
        <v>136</v>
      </c>
    </row>
    <row r="9" customFormat="false" ht="43.5" hidden="false" customHeight="true" outlineLevel="0" collapsed="false">
      <c r="A9" s="27" t="s">
        <v>137</v>
      </c>
    </row>
    <row r="10" customFormat="false" ht="43.5" hidden="false" customHeight="true" outlineLevel="0" collapsed="false">
      <c r="A10" s="28" t="s">
        <v>138</v>
      </c>
    </row>
    <row r="12" customFormat="false" ht="15.75" hidden="false" customHeight="true" outlineLevel="0" collapsed="false">
      <c r="A12" s="26" t="s">
        <v>139</v>
      </c>
    </row>
    <row r="13" customFormat="false" ht="43.5" hidden="false" customHeight="true" outlineLevel="0" collapsed="false">
      <c r="A13" s="27" t="s">
        <v>140</v>
      </c>
    </row>
    <row r="15" customFormat="false" ht="15.75" hidden="false" customHeight="true" outlineLevel="0" collapsed="false">
      <c r="A15" s="29" t="s">
        <v>141</v>
      </c>
    </row>
    <row r="16" customFormat="false" ht="43.5" hidden="false" customHeight="true" outlineLevel="0" collapsed="false">
      <c r="A16" s="2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1"/>
    <col collapsed="false" customWidth="true" hidden="false" outlineLevel="0" max="18" min="17" style="1" width="13"/>
  </cols>
  <sheetData>
    <row r="1" customFormat="false" ht="15" hidden="false" customHeight="true" outlineLevel="0" collapsed="false">
      <c r="A1" s="16" t="s">
        <v>143</v>
      </c>
      <c r="B1" s="16" t="s">
        <v>88</v>
      </c>
      <c r="C1" s="16" t="s">
        <v>144</v>
      </c>
      <c r="D1" s="16" t="s">
        <v>145</v>
      </c>
      <c r="E1" s="16" t="s">
        <v>34</v>
      </c>
      <c r="F1" s="16" t="s">
        <v>37</v>
      </c>
      <c r="G1" s="16" t="s">
        <v>146</v>
      </c>
      <c r="H1" s="16" t="s">
        <v>41</v>
      </c>
      <c r="I1" s="16" t="s">
        <v>147</v>
      </c>
      <c r="J1" s="16" t="s">
        <v>43</v>
      </c>
      <c r="K1" s="16" t="s">
        <v>44</v>
      </c>
      <c r="L1" s="16" t="s">
        <v>45</v>
      </c>
      <c r="M1" s="16" t="s">
        <v>46</v>
      </c>
      <c r="N1" s="16" t="s">
        <v>148</v>
      </c>
      <c r="O1" s="16" t="s">
        <v>149</v>
      </c>
      <c r="P1" s="16" t="s">
        <v>150</v>
      </c>
      <c r="Q1" s="16" t="s">
        <v>151</v>
      </c>
      <c r="R1" s="16" t="s">
        <v>152</v>
      </c>
    </row>
    <row r="2" customFormat="false" ht="15" hidden="false" customHeight="true" outlineLevel="0" collapsed="false">
      <c r="A2" s="9" t="s">
        <v>153</v>
      </c>
      <c r="B2" s="9" t="s">
        <v>92</v>
      </c>
      <c r="C2" s="9" t="n">
        <v>1</v>
      </c>
      <c r="D2" s="9" t="n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49</v>
      </c>
      <c r="P2" s="9" t="s">
        <v>154</v>
      </c>
      <c r="Q2" s="9" t="n">
        <v>1</v>
      </c>
      <c r="R2" s="9" t="n">
        <v>0</v>
      </c>
    </row>
    <row r="3" customFormat="false" ht="15" hidden="false" customHeight="true" outlineLevel="0" collapsed="false">
      <c r="A3" s="9" t="s">
        <v>155</v>
      </c>
      <c r="B3" s="9" t="s">
        <v>92</v>
      </c>
      <c r="C3" s="9" t="n">
        <v>1</v>
      </c>
      <c r="D3" s="9" t="n">
        <v>0</v>
      </c>
      <c r="E3" s="9" t="s">
        <v>35</v>
      </c>
      <c r="F3" s="9"/>
      <c r="G3" s="9" t="s">
        <v>35</v>
      </c>
      <c r="H3" s="9"/>
      <c r="I3" s="9" t="s">
        <v>35</v>
      </c>
      <c r="J3" s="9"/>
      <c r="K3" s="9" t="s">
        <v>35</v>
      </c>
      <c r="L3" s="9"/>
      <c r="M3" s="9"/>
      <c r="N3" s="9"/>
      <c r="O3" s="9" t="s">
        <v>49</v>
      </c>
      <c r="P3" s="9" t="s">
        <v>154</v>
      </c>
      <c r="Q3" s="9" t="n">
        <v>1</v>
      </c>
      <c r="R3" s="9" t="n">
        <v>1</v>
      </c>
    </row>
    <row r="4" customFormat="false" ht="15" hidden="false" customHeight="true" outlineLevel="0" collapsed="false">
      <c r="A4" s="9" t="s">
        <v>156</v>
      </c>
      <c r="B4" s="9" t="s">
        <v>92</v>
      </c>
      <c r="C4" s="9" t="n">
        <v>1</v>
      </c>
      <c r="D4" s="9" t="n">
        <v>0</v>
      </c>
      <c r="E4" s="9" t="s">
        <v>35</v>
      </c>
      <c r="F4" s="9"/>
      <c r="G4" s="9" t="s">
        <v>35</v>
      </c>
      <c r="H4" s="9"/>
      <c r="I4" s="9" t="s">
        <v>35</v>
      </c>
      <c r="J4" s="9"/>
      <c r="K4" s="9" t="s">
        <v>35</v>
      </c>
      <c r="L4" s="9"/>
      <c r="M4" s="9"/>
      <c r="N4" s="9"/>
      <c r="O4" s="9" t="s">
        <v>49</v>
      </c>
      <c r="P4" s="9" t="s">
        <v>154</v>
      </c>
      <c r="Q4" s="9" t="n">
        <v>1</v>
      </c>
      <c r="R4" s="9" t="n">
        <v>1</v>
      </c>
    </row>
    <row r="5" customFormat="false" ht="15" hidden="false" customHeight="true" outlineLevel="0" collapsed="false">
      <c r="A5" s="9" t="s">
        <v>157</v>
      </c>
      <c r="B5" s="9" t="s">
        <v>93</v>
      </c>
      <c r="C5" s="9" t="n">
        <v>1</v>
      </c>
      <c r="D5" s="9" t="n">
        <v>0</v>
      </c>
      <c r="E5" s="9" t="s">
        <v>35</v>
      </c>
      <c r="F5" s="9"/>
      <c r="G5" s="9" t="s">
        <v>35</v>
      </c>
      <c r="H5" s="9"/>
      <c r="I5" s="9" t="s">
        <v>35</v>
      </c>
      <c r="J5" s="9"/>
      <c r="K5" s="9" t="s">
        <v>35</v>
      </c>
      <c r="L5" s="9"/>
      <c r="M5" s="9"/>
      <c r="N5" s="9"/>
      <c r="O5" s="9" t="s">
        <v>49</v>
      </c>
      <c r="P5" s="9" t="s">
        <v>154</v>
      </c>
      <c r="Q5" s="9" t="n">
        <v>1</v>
      </c>
      <c r="R5" s="9" t="n">
        <v>1</v>
      </c>
    </row>
    <row r="6" customFormat="false" ht="15" hidden="false" customHeight="true" outlineLevel="0" collapsed="false">
      <c r="A6" s="9" t="s">
        <v>158</v>
      </c>
      <c r="B6" s="9" t="s">
        <v>93</v>
      </c>
      <c r="C6" s="9" t="n">
        <v>1</v>
      </c>
      <c r="D6" s="9" t="n">
        <v>0</v>
      </c>
      <c r="E6" s="9" t="s">
        <v>35</v>
      </c>
      <c r="F6" s="9"/>
      <c r="G6" s="9" t="s">
        <v>35</v>
      </c>
      <c r="H6" s="9"/>
      <c r="I6" s="9" t="s">
        <v>35</v>
      </c>
      <c r="J6" s="9"/>
      <c r="K6" s="9" t="s">
        <v>35</v>
      </c>
      <c r="L6" s="9"/>
      <c r="M6" s="9"/>
      <c r="N6" s="9"/>
      <c r="O6" s="9" t="s">
        <v>49</v>
      </c>
      <c r="P6" s="9" t="s">
        <v>154</v>
      </c>
      <c r="Q6" s="9" t="n">
        <v>1</v>
      </c>
      <c r="R6" s="9" t="n">
        <v>1</v>
      </c>
    </row>
    <row r="7" customFormat="false" ht="15" hidden="false" customHeight="true" outlineLevel="0" collapsed="false">
      <c r="A7" s="9" t="s">
        <v>159</v>
      </c>
      <c r="B7" s="9" t="s">
        <v>93</v>
      </c>
      <c r="C7" s="9" t="n">
        <v>1</v>
      </c>
      <c r="D7" s="9" t="n">
        <v>0</v>
      </c>
      <c r="E7" s="9" t="s">
        <v>35</v>
      </c>
      <c r="F7" s="9"/>
      <c r="G7" s="9" t="s">
        <v>35</v>
      </c>
      <c r="H7" s="9"/>
      <c r="I7" s="9" t="s">
        <v>35</v>
      </c>
      <c r="J7" s="9"/>
      <c r="K7" s="9" t="s">
        <v>35</v>
      </c>
      <c r="L7" s="9"/>
      <c r="M7" s="9"/>
      <c r="N7" s="9"/>
      <c r="O7" s="9" t="s">
        <v>49</v>
      </c>
      <c r="P7" s="9" t="s">
        <v>154</v>
      </c>
      <c r="Q7" s="9" t="n">
        <v>1</v>
      </c>
      <c r="R7" s="9" t="n">
        <v>1</v>
      </c>
    </row>
    <row r="8" customFormat="false" ht="15" hidden="false" customHeight="true" outlineLevel="0" collapsed="false">
      <c r="A8" s="9" t="s">
        <v>160</v>
      </c>
      <c r="B8" s="9" t="s">
        <v>93</v>
      </c>
      <c r="C8" s="9" t="n">
        <v>1</v>
      </c>
      <c r="D8" s="9" t="n">
        <v>0</v>
      </c>
      <c r="E8" s="9" t="s">
        <v>35</v>
      </c>
      <c r="F8" s="9"/>
      <c r="G8" s="9" t="s">
        <v>35</v>
      </c>
      <c r="H8" s="9"/>
      <c r="I8" s="9" t="s">
        <v>35</v>
      </c>
      <c r="J8" s="9"/>
      <c r="K8" s="9" t="s">
        <v>35</v>
      </c>
      <c r="L8" s="9"/>
      <c r="M8" s="9"/>
      <c r="N8" s="9"/>
      <c r="O8" s="9" t="s">
        <v>49</v>
      </c>
      <c r="P8" s="9" t="s">
        <v>154</v>
      </c>
      <c r="Q8" s="9" t="n">
        <v>1</v>
      </c>
      <c r="R8" s="9" t="n">
        <v>1</v>
      </c>
    </row>
    <row r="9" customFormat="false" ht="15" hidden="false" customHeight="true" outlineLevel="0" collapsed="false">
      <c r="A9" s="9" t="s">
        <v>161</v>
      </c>
      <c r="B9" s="9" t="s">
        <v>93</v>
      </c>
      <c r="C9" s="9" t="n">
        <v>1</v>
      </c>
      <c r="D9" s="9" t="n">
        <v>0</v>
      </c>
      <c r="E9" s="9" t="s">
        <v>35</v>
      </c>
      <c r="F9" s="9"/>
      <c r="G9" s="9" t="s">
        <v>35</v>
      </c>
      <c r="H9" s="9"/>
      <c r="I9" s="9" t="s">
        <v>35</v>
      </c>
      <c r="J9" s="9"/>
      <c r="K9" s="9" t="s">
        <v>35</v>
      </c>
      <c r="L9" s="9"/>
      <c r="M9" s="9"/>
      <c r="N9" s="9"/>
      <c r="O9" s="9" t="s">
        <v>49</v>
      </c>
      <c r="P9" s="9" t="s">
        <v>154</v>
      </c>
      <c r="Q9" s="9" t="n">
        <v>1</v>
      </c>
      <c r="R9" s="9" t="n">
        <v>1</v>
      </c>
    </row>
    <row r="10" customFormat="false" ht="15" hidden="false" customHeight="true" outlineLevel="0" collapsed="false">
      <c r="A10" s="9" t="s">
        <v>162</v>
      </c>
      <c r="B10" s="9" t="s">
        <v>94</v>
      </c>
      <c r="C10" s="9" t="n">
        <v>1</v>
      </c>
      <c r="D10" s="9" t="n">
        <v>0</v>
      </c>
      <c r="E10" s="9" t="s">
        <v>35</v>
      </c>
      <c r="F10" s="9"/>
      <c r="G10" s="9" t="s">
        <v>35</v>
      </c>
      <c r="H10" s="9"/>
      <c r="I10" s="9" t="s">
        <v>35</v>
      </c>
      <c r="J10" s="9"/>
      <c r="K10" s="9" t="s">
        <v>35</v>
      </c>
      <c r="L10" s="9"/>
      <c r="M10" s="9"/>
      <c r="N10" s="9"/>
      <c r="O10" s="9" t="s">
        <v>49</v>
      </c>
      <c r="P10" s="9" t="s">
        <v>154</v>
      </c>
      <c r="Q10" s="9" t="n">
        <v>1</v>
      </c>
      <c r="R10" s="9" t="n">
        <v>1</v>
      </c>
    </row>
    <row r="11" customFormat="false" ht="15" hidden="false" customHeight="true" outlineLevel="0" collapsed="false">
      <c r="A11" s="9" t="s">
        <v>163</v>
      </c>
      <c r="B11" s="9" t="s">
        <v>94</v>
      </c>
      <c r="C11" s="9" t="n">
        <v>1</v>
      </c>
      <c r="D11" s="9" t="n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 t="s">
        <v>49</v>
      </c>
      <c r="P11" s="9" t="s">
        <v>154</v>
      </c>
      <c r="Q11" s="9" t="n">
        <v>1</v>
      </c>
      <c r="R11" s="9" t="n">
        <v>0</v>
      </c>
    </row>
    <row r="12" customFormat="false" ht="15" hidden="false" customHeight="true" outlineLevel="0" collapsed="false">
      <c r="A12" s="9" t="s">
        <v>164</v>
      </c>
      <c r="B12" s="9" t="s">
        <v>94</v>
      </c>
      <c r="C12" s="9" t="n">
        <v>1</v>
      </c>
      <c r="D12" s="9" t="n">
        <v>0</v>
      </c>
      <c r="E12" s="9" t="s">
        <v>35</v>
      </c>
      <c r="F12" s="9"/>
      <c r="G12" s="9" t="s">
        <v>35</v>
      </c>
      <c r="H12" s="9"/>
      <c r="I12" s="9" t="s">
        <v>35</v>
      </c>
      <c r="J12" s="9"/>
      <c r="K12" s="9" t="s">
        <v>35</v>
      </c>
      <c r="L12" s="9"/>
      <c r="M12" s="9"/>
      <c r="N12" s="9"/>
      <c r="O12" s="9" t="s">
        <v>49</v>
      </c>
      <c r="P12" s="9" t="s">
        <v>154</v>
      </c>
      <c r="Q12" s="9" t="n">
        <v>1</v>
      </c>
      <c r="R12" s="9" t="n">
        <v>1</v>
      </c>
    </row>
    <row r="13" customFormat="false" ht="15" hidden="false" customHeight="true" outlineLevel="0" collapsed="false">
      <c r="A13" s="9" t="s">
        <v>165</v>
      </c>
      <c r="B13" s="9" t="s">
        <v>94</v>
      </c>
      <c r="C13" s="9" t="n">
        <v>1</v>
      </c>
      <c r="D13" s="9" t="n">
        <v>0</v>
      </c>
      <c r="E13" s="9" t="s">
        <v>35</v>
      </c>
      <c r="F13" s="9"/>
      <c r="G13" s="9" t="s">
        <v>35</v>
      </c>
      <c r="H13" s="9"/>
      <c r="I13" s="9" t="s">
        <v>35</v>
      </c>
      <c r="J13" s="9"/>
      <c r="K13" s="9" t="s">
        <v>35</v>
      </c>
      <c r="L13" s="9"/>
      <c r="M13" s="9"/>
      <c r="N13" s="9"/>
      <c r="O13" s="9" t="s">
        <v>49</v>
      </c>
      <c r="P13" s="9" t="s">
        <v>154</v>
      </c>
      <c r="Q13" s="9" t="n">
        <v>1</v>
      </c>
      <c r="R13" s="9" t="n">
        <v>1</v>
      </c>
    </row>
    <row r="14" customFormat="false" ht="15" hidden="false" customHeight="true" outlineLevel="0" collapsed="false">
      <c r="A14" s="9" t="s">
        <v>166</v>
      </c>
      <c r="B14" s="9" t="s">
        <v>95</v>
      </c>
      <c r="C14" s="9" t="n">
        <v>1</v>
      </c>
      <c r="D14" s="9" t="n">
        <v>0</v>
      </c>
      <c r="E14" s="9" t="s">
        <v>35</v>
      </c>
      <c r="F14" s="9"/>
      <c r="G14" s="9" t="s">
        <v>35</v>
      </c>
      <c r="H14" s="9"/>
      <c r="I14" s="9" t="s">
        <v>35</v>
      </c>
      <c r="J14" s="9"/>
      <c r="K14" s="9" t="s">
        <v>35</v>
      </c>
      <c r="L14" s="9"/>
      <c r="M14" s="9"/>
      <c r="N14" s="9"/>
      <c r="O14" s="9" t="s">
        <v>49</v>
      </c>
      <c r="P14" s="9" t="s">
        <v>154</v>
      </c>
      <c r="Q14" s="9" t="n">
        <v>1</v>
      </c>
      <c r="R14" s="9" t="n">
        <v>1</v>
      </c>
    </row>
    <row r="15" customFormat="false" ht="15" hidden="false" customHeight="true" outlineLevel="0" collapsed="false">
      <c r="A15" s="9" t="s">
        <v>167</v>
      </c>
      <c r="B15" s="9" t="s">
        <v>95</v>
      </c>
      <c r="C15" s="9" t="n">
        <v>1</v>
      </c>
      <c r="D15" s="9" t="n"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 t="s">
        <v>49</v>
      </c>
      <c r="P15" s="9" t="s">
        <v>154</v>
      </c>
      <c r="Q15" s="9" t="n">
        <v>1</v>
      </c>
      <c r="R15" s="9" t="n">
        <v>0</v>
      </c>
    </row>
    <row r="16" customFormat="false" ht="15" hidden="false" customHeight="true" outlineLevel="0" collapsed="false">
      <c r="A16" s="9" t="s">
        <v>168</v>
      </c>
      <c r="B16" s="9" t="s">
        <v>95</v>
      </c>
      <c r="C16" s="9" t="n">
        <v>1</v>
      </c>
      <c r="D16" s="9" t="n">
        <v>0</v>
      </c>
      <c r="E16" s="9" t="s">
        <v>35</v>
      </c>
      <c r="F16" s="9"/>
      <c r="G16" s="9" t="s">
        <v>35</v>
      </c>
      <c r="H16" s="9"/>
      <c r="I16" s="9" t="s">
        <v>35</v>
      </c>
      <c r="J16" s="9"/>
      <c r="K16" s="9" t="s">
        <v>35</v>
      </c>
      <c r="L16" s="9"/>
      <c r="M16" s="9"/>
      <c r="N16" s="9"/>
      <c r="O16" s="9" t="s">
        <v>49</v>
      </c>
      <c r="P16" s="9" t="s">
        <v>154</v>
      </c>
      <c r="Q16" s="9" t="n">
        <v>1</v>
      </c>
      <c r="R16" s="9" t="n">
        <v>1</v>
      </c>
    </row>
    <row r="17" customFormat="false" ht="15" hidden="false" customHeight="true" outlineLevel="0" collapsed="false">
      <c r="A17" s="9" t="s">
        <v>169</v>
      </c>
      <c r="B17" s="9" t="s">
        <v>96</v>
      </c>
      <c r="C17" s="9" t="n">
        <v>1</v>
      </c>
      <c r="D17" s="9" t="n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49</v>
      </c>
      <c r="P17" s="9" t="s">
        <v>154</v>
      </c>
      <c r="Q17" s="9" t="n">
        <v>1</v>
      </c>
      <c r="R17" s="9" t="n">
        <v>0</v>
      </c>
    </row>
    <row r="18" customFormat="false" ht="15" hidden="false" customHeight="true" outlineLevel="0" collapsed="false">
      <c r="A18" s="9" t="s">
        <v>170</v>
      </c>
      <c r="B18" s="9" t="s">
        <v>96</v>
      </c>
      <c r="C18" s="9" t="n">
        <v>1</v>
      </c>
      <c r="D18" s="9" t="n">
        <v>0</v>
      </c>
      <c r="E18" s="9" t="s">
        <v>35</v>
      </c>
      <c r="F18" s="9"/>
      <c r="G18" s="9" t="s">
        <v>35</v>
      </c>
      <c r="H18" s="9"/>
      <c r="I18" s="9" t="s">
        <v>35</v>
      </c>
      <c r="J18" s="9"/>
      <c r="K18" s="9" t="s">
        <v>35</v>
      </c>
      <c r="L18" s="9"/>
      <c r="M18" s="9"/>
      <c r="N18" s="9"/>
      <c r="O18" s="9" t="s">
        <v>49</v>
      </c>
      <c r="P18" s="9" t="s">
        <v>154</v>
      </c>
      <c r="Q18" s="9" t="n">
        <v>1</v>
      </c>
      <c r="R18" s="9" t="n">
        <v>1</v>
      </c>
    </row>
    <row r="19" customFormat="false" ht="15" hidden="false" customHeight="true" outlineLevel="0" collapsed="false">
      <c r="A19" s="9" t="s">
        <v>171</v>
      </c>
      <c r="B19" s="9" t="s">
        <v>96</v>
      </c>
      <c r="C19" s="9" t="n">
        <v>1</v>
      </c>
      <c r="D19" s="9" t="n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49</v>
      </c>
      <c r="P19" s="9" t="s">
        <v>154</v>
      </c>
      <c r="Q19" s="9" t="n">
        <v>1</v>
      </c>
      <c r="R19" s="9" t="n">
        <v>0</v>
      </c>
    </row>
    <row r="20" customFormat="false" ht="15" hidden="false" customHeight="true" outlineLevel="0" collapsed="false">
      <c r="A20" s="9" t="s">
        <v>172</v>
      </c>
      <c r="B20" s="9" t="s">
        <v>96</v>
      </c>
      <c r="C20" s="9" t="n">
        <v>1</v>
      </c>
      <c r="D20" s="9" t="n">
        <v>0</v>
      </c>
      <c r="E20" s="9" t="s">
        <v>35</v>
      </c>
      <c r="F20" s="9"/>
      <c r="G20" s="9" t="s">
        <v>35</v>
      </c>
      <c r="H20" s="9"/>
      <c r="I20" s="9" t="s">
        <v>35</v>
      </c>
      <c r="J20" s="9"/>
      <c r="K20" s="9" t="s">
        <v>35</v>
      </c>
      <c r="L20" s="9"/>
      <c r="M20" s="9"/>
      <c r="N20" s="9"/>
      <c r="O20" s="9" t="s">
        <v>49</v>
      </c>
      <c r="P20" s="9" t="s">
        <v>154</v>
      </c>
      <c r="Q20" s="9" t="n">
        <v>1</v>
      </c>
      <c r="R20" s="9" t="n">
        <v>1</v>
      </c>
    </row>
    <row r="21" customFormat="false" ht="15" hidden="false" customHeight="true" outlineLevel="0" collapsed="false">
      <c r="A21" s="9" t="s">
        <v>173</v>
      </c>
      <c r="B21" s="9" t="s">
        <v>97</v>
      </c>
      <c r="C21" s="9" t="n">
        <v>1</v>
      </c>
      <c r="D21" s="9" t="n">
        <v>0</v>
      </c>
      <c r="E21" s="9" t="s">
        <v>35</v>
      </c>
      <c r="F21" s="9"/>
      <c r="G21" s="9" t="s">
        <v>35</v>
      </c>
      <c r="H21" s="9"/>
      <c r="I21" s="9" t="s">
        <v>35</v>
      </c>
      <c r="J21" s="9"/>
      <c r="K21" s="9" t="s">
        <v>35</v>
      </c>
      <c r="L21" s="9"/>
      <c r="M21" s="9"/>
      <c r="N21" s="9"/>
      <c r="O21" s="9" t="s">
        <v>49</v>
      </c>
      <c r="P21" s="9" t="s">
        <v>154</v>
      </c>
      <c r="Q21" s="9" t="n">
        <v>1</v>
      </c>
      <c r="R21" s="9" t="n">
        <v>1</v>
      </c>
    </row>
    <row r="22" customFormat="false" ht="15" hidden="false" customHeight="true" outlineLevel="0" collapsed="false">
      <c r="A22" s="9" t="s">
        <v>174</v>
      </c>
      <c r="B22" s="9" t="s">
        <v>97</v>
      </c>
      <c r="C22" s="9" t="n">
        <v>1</v>
      </c>
      <c r="D22" s="9" t="n">
        <v>0</v>
      </c>
      <c r="E22" s="9" t="s">
        <v>35</v>
      </c>
      <c r="F22" s="9"/>
      <c r="G22" s="9" t="s">
        <v>35</v>
      </c>
      <c r="H22" s="9"/>
      <c r="I22" s="9" t="s">
        <v>35</v>
      </c>
      <c r="J22" s="9"/>
      <c r="K22" s="9" t="s">
        <v>35</v>
      </c>
      <c r="L22" s="9"/>
      <c r="M22" s="9"/>
      <c r="N22" s="9"/>
      <c r="O22" s="9" t="s">
        <v>49</v>
      </c>
      <c r="P22" s="9" t="s">
        <v>154</v>
      </c>
      <c r="Q22" s="9" t="n">
        <v>1</v>
      </c>
      <c r="R22" s="9" t="n">
        <v>1</v>
      </c>
    </row>
    <row r="23" customFormat="false" ht="15" hidden="false" customHeight="true" outlineLevel="0" collapsed="false">
      <c r="A23" s="9" t="s">
        <v>175</v>
      </c>
      <c r="B23" s="9" t="s">
        <v>97</v>
      </c>
      <c r="C23" s="9" t="n">
        <v>1</v>
      </c>
      <c r="D23" s="9" t="n">
        <v>0</v>
      </c>
      <c r="E23" s="9" t="s">
        <v>35</v>
      </c>
      <c r="F23" s="9"/>
      <c r="G23" s="9" t="s">
        <v>35</v>
      </c>
      <c r="H23" s="9"/>
      <c r="I23" s="9" t="s">
        <v>35</v>
      </c>
      <c r="J23" s="9"/>
      <c r="K23" s="9" t="s">
        <v>35</v>
      </c>
      <c r="L23" s="9"/>
      <c r="M23" s="9"/>
      <c r="N23" s="9"/>
      <c r="O23" s="9" t="s">
        <v>49</v>
      </c>
      <c r="P23" s="9" t="s">
        <v>154</v>
      </c>
      <c r="Q23" s="9" t="n">
        <v>1</v>
      </c>
      <c r="R23" s="9" t="n">
        <v>1</v>
      </c>
    </row>
    <row r="24" customFormat="false" ht="15" hidden="false" customHeight="true" outlineLevel="0" collapsed="false">
      <c r="A24" s="9" t="s">
        <v>176</v>
      </c>
      <c r="B24" s="9" t="s">
        <v>97</v>
      </c>
      <c r="C24" s="9" t="n">
        <v>1</v>
      </c>
      <c r="D24" s="9" t="n">
        <v>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 t="s">
        <v>49</v>
      </c>
      <c r="P24" s="9" t="s">
        <v>154</v>
      </c>
      <c r="Q24" s="9" t="n">
        <v>1</v>
      </c>
      <c r="R24" s="9" t="n">
        <v>0</v>
      </c>
    </row>
    <row r="25" customFormat="false" ht="15" hidden="false" customHeight="true" outlineLevel="0" collapsed="false">
      <c r="A25" s="9" t="s">
        <v>177</v>
      </c>
      <c r="B25" s="9" t="s">
        <v>98</v>
      </c>
      <c r="C25" s="9" t="n">
        <v>1</v>
      </c>
      <c r="D25" s="9" t="n"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 t="s">
        <v>49</v>
      </c>
      <c r="P25" s="9" t="s">
        <v>154</v>
      </c>
      <c r="Q25" s="9" t="n">
        <v>1</v>
      </c>
      <c r="R25" s="9" t="n">
        <v>0</v>
      </c>
    </row>
    <row r="26" customFormat="false" ht="15" hidden="false" customHeight="true" outlineLevel="0" collapsed="false">
      <c r="A26" s="9" t="s">
        <v>178</v>
      </c>
      <c r="B26" s="9" t="s">
        <v>98</v>
      </c>
      <c r="C26" s="9" t="n">
        <v>1</v>
      </c>
      <c r="D26" s="9" t="n">
        <v>0</v>
      </c>
      <c r="E26" s="9" t="s">
        <v>35</v>
      </c>
      <c r="F26" s="9"/>
      <c r="G26" s="9" t="s">
        <v>35</v>
      </c>
      <c r="H26" s="9"/>
      <c r="I26" s="9" t="s">
        <v>35</v>
      </c>
      <c r="J26" s="9"/>
      <c r="K26" s="9" t="s">
        <v>35</v>
      </c>
      <c r="L26" s="9"/>
      <c r="M26" s="9"/>
      <c r="N26" s="9"/>
      <c r="O26" s="9" t="s">
        <v>49</v>
      </c>
      <c r="P26" s="9" t="s">
        <v>154</v>
      </c>
      <c r="Q26" s="9" t="n">
        <v>1</v>
      </c>
      <c r="R26" s="9" t="n">
        <v>1</v>
      </c>
    </row>
    <row r="27" customFormat="false" ht="15" hidden="false" customHeight="true" outlineLevel="0" collapsed="false">
      <c r="A27" s="9" t="s">
        <v>179</v>
      </c>
      <c r="B27" s="9" t="s">
        <v>98</v>
      </c>
      <c r="C27" s="9" t="n">
        <v>1</v>
      </c>
      <c r="D27" s="9" t="n">
        <v>0</v>
      </c>
      <c r="E27" s="9" t="s">
        <v>35</v>
      </c>
      <c r="F27" s="9"/>
      <c r="G27" s="9" t="s">
        <v>35</v>
      </c>
      <c r="H27" s="9"/>
      <c r="I27" s="9" t="s">
        <v>35</v>
      </c>
      <c r="J27" s="9"/>
      <c r="K27" s="9" t="s">
        <v>35</v>
      </c>
      <c r="L27" s="9"/>
      <c r="M27" s="9"/>
      <c r="N27" s="9"/>
      <c r="O27" s="9" t="s">
        <v>49</v>
      </c>
      <c r="P27" s="9" t="s">
        <v>154</v>
      </c>
      <c r="Q27" s="9" t="n">
        <v>1</v>
      </c>
      <c r="R27" s="9" t="n">
        <v>1</v>
      </c>
    </row>
    <row r="28" customFormat="false" ht="15" hidden="false" customHeight="true" outlineLevel="0" collapsed="false">
      <c r="A28" s="9" t="s">
        <v>180</v>
      </c>
      <c r="B28" s="9" t="s">
        <v>99</v>
      </c>
      <c r="C28" s="9" t="n">
        <v>1</v>
      </c>
      <c r="D28" s="9" t="n">
        <v>0</v>
      </c>
      <c r="E28" s="9" t="s">
        <v>35</v>
      </c>
      <c r="F28" s="9"/>
      <c r="G28" s="9" t="s">
        <v>35</v>
      </c>
      <c r="H28" s="9"/>
      <c r="I28" s="9" t="s">
        <v>35</v>
      </c>
      <c r="J28" s="9"/>
      <c r="K28" s="9" t="s">
        <v>35</v>
      </c>
      <c r="L28" s="9"/>
      <c r="M28" s="9"/>
      <c r="N28" s="9"/>
      <c r="O28" s="9" t="s">
        <v>49</v>
      </c>
      <c r="P28" s="9" t="s">
        <v>154</v>
      </c>
      <c r="Q28" s="9" t="n">
        <v>1</v>
      </c>
      <c r="R28" s="9" t="n">
        <v>1</v>
      </c>
    </row>
    <row r="29" customFormat="false" ht="15" hidden="false" customHeight="true" outlineLevel="0" collapsed="false">
      <c r="A29" s="9" t="s">
        <v>181</v>
      </c>
      <c r="B29" s="9" t="s">
        <v>99</v>
      </c>
      <c r="C29" s="9" t="n">
        <v>1</v>
      </c>
      <c r="D29" s="9" t="n">
        <v>0</v>
      </c>
      <c r="E29" s="9" t="s">
        <v>35</v>
      </c>
      <c r="F29" s="9"/>
      <c r="G29" s="9" t="s">
        <v>35</v>
      </c>
      <c r="H29" s="9"/>
      <c r="I29" s="9" t="s">
        <v>35</v>
      </c>
      <c r="J29" s="9"/>
      <c r="K29" s="9" t="s">
        <v>35</v>
      </c>
      <c r="L29" s="9"/>
      <c r="M29" s="9"/>
      <c r="N29" s="9"/>
      <c r="O29" s="9" t="s">
        <v>49</v>
      </c>
      <c r="P29" s="9" t="s">
        <v>154</v>
      </c>
      <c r="Q29" s="9" t="n">
        <v>1</v>
      </c>
      <c r="R29" s="9" t="n">
        <v>1</v>
      </c>
    </row>
    <row r="30" customFormat="false" ht="15" hidden="false" customHeight="true" outlineLevel="0" collapsed="false">
      <c r="A30" s="9" t="s">
        <v>182</v>
      </c>
      <c r="B30" s="9" t="s">
        <v>99</v>
      </c>
      <c r="C30" s="9" t="n">
        <v>1</v>
      </c>
      <c r="D30" s="9" t="n">
        <v>0</v>
      </c>
      <c r="E30" s="9" t="s">
        <v>35</v>
      </c>
      <c r="F30" s="9"/>
      <c r="G30" s="9" t="s">
        <v>35</v>
      </c>
      <c r="H30" s="9"/>
      <c r="I30" s="9" t="s">
        <v>35</v>
      </c>
      <c r="J30" s="9"/>
      <c r="K30" s="9" t="s">
        <v>35</v>
      </c>
      <c r="L30" s="9"/>
      <c r="M30" s="9"/>
      <c r="N30" s="9"/>
      <c r="O30" s="9" t="s">
        <v>49</v>
      </c>
      <c r="P30" s="9" t="s">
        <v>154</v>
      </c>
      <c r="Q30" s="9" t="n">
        <v>1</v>
      </c>
      <c r="R30" s="9" t="n">
        <v>1</v>
      </c>
    </row>
    <row r="31" customFormat="false" ht="15" hidden="false" customHeight="true" outlineLevel="0" collapsed="false">
      <c r="A31" s="9" t="s">
        <v>183</v>
      </c>
      <c r="B31" s="9" t="s">
        <v>99</v>
      </c>
      <c r="C31" s="9" t="n">
        <v>1</v>
      </c>
      <c r="D31" s="9" t="n">
        <v>0</v>
      </c>
      <c r="E31" s="9" t="s">
        <v>35</v>
      </c>
      <c r="F31" s="9"/>
      <c r="G31" s="9" t="s">
        <v>35</v>
      </c>
      <c r="H31" s="9"/>
      <c r="I31" s="9" t="s">
        <v>35</v>
      </c>
      <c r="J31" s="9"/>
      <c r="K31" s="9" t="s">
        <v>35</v>
      </c>
      <c r="L31" s="9"/>
      <c r="M31" s="9"/>
      <c r="N31" s="9"/>
      <c r="O31" s="9" t="s">
        <v>49</v>
      </c>
      <c r="P31" s="9" t="s">
        <v>154</v>
      </c>
      <c r="Q31" s="9" t="n">
        <v>1</v>
      </c>
      <c r="R31" s="9" t="n">
        <v>1</v>
      </c>
    </row>
    <row r="32" customFormat="false" ht="15" hidden="false" customHeight="true" outlineLevel="0" collapsed="false">
      <c r="A32" s="9" t="s">
        <v>184</v>
      </c>
      <c r="B32" s="9" t="s">
        <v>100</v>
      </c>
      <c r="C32" s="9" t="n">
        <v>1</v>
      </c>
      <c r="D32" s="9" t="n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 t="s">
        <v>49</v>
      </c>
      <c r="P32" s="9" t="s">
        <v>154</v>
      </c>
      <c r="Q32" s="9" t="n">
        <v>1</v>
      </c>
      <c r="R32" s="9" t="n">
        <v>0</v>
      </c>
    </row>
    <row r="33" customFormat="false" ht="15" hidden="false" customHeight="true" outlineLevel="0" collapsed="false">
      <c r="A33" s="9" t="s">
        <v>185</v>
      </c>
      <c r="B33" s="9" t="s">
        <v>100</v>
      </c>
      <c r="C33" s="9" t="n">
        <v>1</v>
      </c>
      <c r="D33" s="9" t="n">
        <v>0</v>
      </c>
      <c r="E33" s="9" t="s">
        <v>35</v>
      </c>
      <c r="F33" s="9"/>
      <c r="G33" s="9" t="s">
        <v>35</v>
      </c>
      <c r="H33" s="9"/>
      <c r="I33" s="9" t="s">
        <v>35</v>
      </c>
      <c r="J33" s="9"/>
      <c r="K33" s="9" t="s">
        <v>35</v>
      </c>
      <c r="L33" s="9"/>
      <c r="M33" s="9"/>
      <c r="N33" s="9"/>
      <c r="O33" s="9" t="s">
        <v>49</v>
      </c>
      <c r="P33" s="9" t="s">
        <v>154</v>
      </c>
      <c r="Q33" s="9" t="n">
        <v>1</v>
      </c>
      <c r="R33" s="9" t="n">
        <v>1</v>
      </c>
    </row>
    <row r="34" customFormat="false" ht="15" hidden="false" customHeight="true" outlineLevel="0" collapsed="false">
      <c r="A34" s="9" t="s">
        <v>186</v>
      </c>
      <c r="B34" s="9" t="s">
        <v>100</v>
      </c>
      <c r="C34" s="9" t="n">
        <v>1</v>
      </c>
      <c r="D34" s="9" t="n">
        <v>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 t="s">
        <v>49</v>
      </c>
      <c r="P34" s="9" t="s">
        <v>154</v>
      </c>
      <c r="Q34" s="9" t="n">
        <v>1</v>
      </c>
      <c r="R34" s="9" t="n">
        <v>0</v>
      </c>
    </row>
    <row r="35" customFormat="false" ht="15" hidden="false" customHeight="true" outlineLevel="0" collapsed="false">
      <c r="A35" s="9" t="s">
        <v>187</v>
      </c>
      <c r="B35" s="9" t="s">
        <v>100</v>
      </c>
      <c r="C35" s="9" t="n">
        <v>1</v>
      </c>
      <c r="D35" s="9" t="n">
        <v>0</v>
      </c>
      <c r="E35" s="9" t="s">
        <v>35</v>
      </c>
      <c r="F35" s="9"/>
      <c r="G35" s="9" t="s">
        <v>35</v>
      </c>
      <c r="H35" s="9"/>
      <c r="I35" s="9" t="s">
        <v>35</v>
      </c>
      <c r="J35" s="9"/>
      <c r="K35" s="9" t="s">
        <v>35</v>
      </c>
      <c r="L35" s="9"/>
      <c r="M35" s="9"/>
      <c r="N35" s="9"/>
      <c r="O35" s="9" t="s">
        <v>49</v>
      </c>
      <c r="P35" s="9" t="s">
        <v>154</v>
      </c>
      <c r="Q35" s="9" t="n">
        <v>1</v>
      </c>
      <c r="R35" s="9" t="n">
        <v>1</v>
      </c>
    </row>
    <row r="36" customFormat="false" ht="15" hidden="false" customHeight="true" outlineLevel="0" collapsed="false">
      <c r="A36" s="9" t="s">
        <v>188</v>
      </c>
      <c r="B36" s="9" t="s">
        <v>100</v>
      </c>
      <c r="C36" s="9" t="n">
        <v>1</v>
      </c>
      <c r="D36" s="9" t="n">
        <v>0</v>
      </c>
      <c r="E36" s="9" t="s">
        <v>35</v>
      </c>
      <c r="F36" s="9"/>
      <c r="G36" s="9" t="s">
        <v>35</v>
      </c>
      <c r="H36" s="9"/>
      <c r="I36" s="9" t="s">
        <v>35</v>
      </c>
      <c r="J36" s="9"/>
      <c r="K36" s="9" t="s">
        <v>35</v>
      </c>
      <c r="L36" s="9"/>
      <c r="M36" s="9"/>
      <c r="N36" s="9"/>
      <c r="O36" s="9" t="s">
        <v>49</v>
      </c>
      <c r="P36" s="9" t="s">
        <v>154</v>
      </c>
      <c r="Q36" s="9" t="n">
        <v>1</v>
      </c>
      <c r="R36" s="9" t="n">
        <v>1</v>
      </c>
    </row>
    <row r="37" customFormat="false" ht="15" hidden="false" customHeight="true" outlineLevel="0" collapsed="false">
      <c r="A37" s="9" t="s">
        <v>189</v>
      </c>
      <c r="B37" s="9" t="s">
        <v>101</v>
      </c>
      <c r="C37" s="9" t="n">
        <v>1</v>
      </c>
      <c r="D37" s="9" t="n">
        <v>0</v>
      </c>
      <c r="E37" s="9" t="s">
        <v>35</v>
      </c>
      <c r="F37" s="9"/>
      <c r="G37" s="9" t="s">
        <v>35</v>
      </c>
      <c r="H37" s="9"/>
      <c r="I37" s="9" t="s">
        <v>35</v>
      </c>
      <c r="J37" s="9"/>
      <c r="K37" s="9" t="s">
        <v>35</v>
      </c>
      <c r="L37" s="9"/>
      <c r="M37" s="9"/>
      <c r="N37" s="9"/>
      <c r="O37" s="9" t="s">
        <v>49</v>
      </c>
      <c r="P37" s="9" t="s">
        <v>154</v>
      </c>
      <c r="Q37" s="9" t="n">
        <v>1</v>
      </c>
      <c r="R37" s="9" t="n">
        <v>1</v>
      </c>
    </row>
    <row r="38" customFormat="false" ht="15" hidden="false" customHeight="true" outlineLevel="0" collapsed="false">
      <c r="A38" s="9" t="s">
        <v>190</v>
      </c>
      <c r="B38" s="9" t="s">
        <v>101</v>
      </c>
      <c r="C38" s="9" t="n">
        <v>1</v>
      </c>
      <c r="D38" s="9" t="n">
        <v>0</v>
      </c>
      <c r="E38" s="9" t="s">
        <v>35</v>
      </c>
      <c r="F38" s="9"/>
      <c r="G38" s="9" t="s">
        <v>35</v>
      </c>
      <c r="H38" s="9"/>
      <c r="I38" s="9" t="s">
        <v>35</v>
      </c>
      <c r="J38" s="9"/>
      <c r="K38" s="9" t="s">
        <v>35</v>
      </c>
      <c r="L38" s="9"/>
      <c r="M38" s="9"/>
      <c r="N38" s="9"/>
      <c r="O38" s="9" t="s">
        <v>49</v>
      </c>
      <c r="P38" s="9" t="s">
        <v>154</v>
      </c>
      <c r="Q38" s="9" t="n">
        <v>1</v>
      </c>
      <c r="R38" s="9" t="n">
        <v>1</v>
      </c>
    </row>
    <row r="39" customFormat="false" ht="15" hidden="false" customHeight="true" outlineLevel="0" collapsed="false">
      <c r="A39" s="9" t="s">
        <v>191</v>
      </c>
      <c r="B39" s="9" t="s">
        <v>101</v>
      </c>
      <c r="C39" s="9" t="n">
        <v>1</v>
      </c>
      <c r="D39" s="9" t="n">
        <v>0</v>
      </c>
      <c r="E39" s="9" t="s">
        <v>35</v>
      </c>
      <c r="F39" s="9"/>
      <c r="G39" s="9" t="s">
        <v>35</v>
      </c>
      <c r="H39" s="9"/>
      <c r="I39" s="9" t="s">
        <v>35</v>
      </c>
      <c r="J39" s="9"/>
      <c r="K39" s="9" t="s">
        <v>35</v>
      </c>
      <c r="L39" s="9"/>
      <c r="M39" s="9"/>
      <c r="N39" s="9"/>
      <c r="O39" s="9" t="s">
        <v>49</v>
      </c>
      <c r="P39" s="9" t="s">
        <v>154</v>
      </c>
      <c r="Q39" s="9" t="n">
        <v>1</v>
      </c>
      <c r="R39" s="9" t="n">
        <v>1</v>
      </c>
    </row>
    <row r="40" customFormat="false" ht="15" hidden="false" customHeight="true" outlineLevel="0" collapsed="false">
      <c r="A40" s="9" t="s">
        <v>192</v>
      </c>
      <c r="B40" s="9" t="s">
        <v>101</v>
      </c>
      <c r="C40" s="9" t="n">
        <v>1</v>
      </c>
      <c r="D40" s="9" t="n">
        <v>0</v>
      </c>
      <c r="E40" s="9" t="s">
        <v>35</v>
      </c>
      <c r="F40" s="9"/>
      <c r="G40" s="9" t="s">
        <v>35</v>
      </c>
      <c r="H40" s="9"/>
      <c r="I40" s="9" t="s">
        <v>35</v>
      </c>
      <c r="J40" s="9"/>
      <c r="K40" s="9" t="s">
        <v>35</v>
      </c>
      <c r="L40" s="9"/>
      <c r="M40" s="9"/>
      <c r="N40" s="9"/>
      <c r="O40" s="9" t="s">
        <v>49</v>
      </c>
      <c r="P40" s="9" t="s">
        <v>154</v>
      </c>
      <c r="Q40" s="9" t="n">
        <v>1</v>
      </c>
      <c r="R40" s="9" t="n">
        <v>1</v>
      </c>
    </row>
    <row r="41" customFormat="false" ht="15" hidden="false" customHeight="true" outlineLevel="0" collapsed="false">
      <c r="A41" s="9" t="s">
        <v>193</v>
      </c>
      <c r="B41" s="9" t="s">
        <v>102</v>
      </c>
      <c r="C41" s="9" t="n">
        <v>1</v>
      </c>
      <c r="D41" s="9" t="n">
        <v>0</v>
      </c>
      <c r="E41" s="9" t="s">
        <v>35</v>
      </c>
      <c r="F41" s="9"/>
      <c r="G41" s="9" t="s">
        <v>35</v>
      </c>
      <c r="H41" s="9"/>
      <c r="I41" s="9" t="s">
        <v>35</v>
      </c>
      <c r="J41" s="9"/>
      <c r="K41" s="9" t="s">
        <v>35</v>
      </c>
      <c r="L41" s="9"/>
      <c r="M41" s="9"/>
      <c r="N41" s="9"/>
      <c r="O41" s="9" t="s">
        <v>49</v>
      </c>
      <c r="P41" s="9" t="s">
        <v>154</v>
      </c>
      <c r="Q41" s="9" t="n">
        <v>1</v>
      </c>
      <c r="R41" s="9" t="n">
        <v>1</v>
      </c>
    </row>
    <row r="42" customFormat="false" ht="15" hidden="false" customHeight="true" outlineLevel="0" collapsed="false">
      <c r="A42" s="9" t="s">
        <v>194</v>
      </c>
      <c r="B42" s="9" t="s">
        <v>102</v>
      </c>
      <c r="C42" s="9" t="n">
        <v>1</v>
      </c>
      <c r="D42" s="9" t="n">
        <v>0</v>
      </c>
      <c r="E42" s="9" t="s">
        <v>35</v>
      </c>
      <c r="F42" s="9"/>
      <c r="G42" s="9" t="s">
        <v>35</v>
      </c>
      <c r="H42" s="9"/>
      <c r="I42" s="9" t="s">
        <v>35</v>
      </c>
      <c r="J42" s="9"/>
      <c r="K42" s="9" t="s">
        <v>35</v>
      </c>
      <c r="L42" s="9"/>
      <c r="M42" s="9"/>
      <c r="N42" s="9"/>
      <c r="O42" s="9" t="s">
        <v>49</v>
      </c>
      <c r="P42" s="9" t="s">
        <v>154</v>
      </c>
      <c r="Q42" s="9" t="n">
        <v>1</v>
      </c>
      <c r="R42" s="9" t="n">
        <v>1</v>
      </c>
    </row>
    <row r="43" customFormat="false" ht="15" hidden="false" customHeight="true" outlineLevel="0" collapsed="false">
      <c r="A43" s="9" t="s">
        <v>195</v>
      </c>
      <c r="B43" s="9" t="s">
        <v>102</v>
      </c>
      <c r="C43" s="9" t="n">
        <v>1</v>
      </c>
      <c r="D43" s="9" t="n">
        <v>0</v>
      </c>
      <c r="E43" s="9" t="s">
        <v>35</v>
      </c>
      <c r="F43" s="9"/>
      <c r="G43" s="9" t="s">
        <v>35</v>
      </c>
      <c r="H43" s="9"/>
      <c r="I43" s="9" t="s">
        <v>35</v>
      </c>
      <c r="J43" s="9"/>
      <c r="K43" s="9" t="s">
        <v>35</v>
      </c>
      <c r="L43" s="9"/>
      <c r="M43" s="9"/>
      <c r="N43" s="9"/>
      <c r="O43" s="9" t="s">
        <v>49</v>
      </c>
      <c r="P43" s="9" t="s">
        <v>154</v>
      </c>
      <c r="Q43" s="9" t="n">
        <v>1</v>
      </c>
      <c r="R43" s="9" t="n">
        <v>1</v>
      </c>
    </row>
    <row r="44" customFormat="false" ht="15" hidden="false" customHeight="true" outlineLevel="0" collapsed="false">
      <c r="A44" s="9" t="s">
        <v>196</v>
      </c>
      <c r="B44" s="9" t="s">
        <v>102</v>
      </c>
      <c r="C44" s="9" t="n">
        <v>1</v>
      </c>
      <c r="D44" s="9" t="n">
        <v>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 t="s">
        <v>49</v>
      </c>
      <c r="P44" s="9" t="s">
        <v>154</v>
      </c>
      <c r="Q44" s="9" t="n">
        <v>1</v>
      </c>
      <c r="R44" s="9" t="n">
        <v>0</v>
      </c>
    </row>
    <row r="45" customFormat="false" ht="15" hidden="false" customHeight="true" outlineLevel="0" collapsed="false">
      <c r="A45" s="9" t="s">
        <v>197</v>
      </c>
      <c r="B45" s="9" t="s">
        <v>103</v>
      </c>
      <c r="C45" s="9" t="n">
        <v>1</v>
      </c>
      <c r="D45" s="9" t="n">
        <v>0</v>
      </c>
      <c r="E45" s="9" t="s">
        <v>35</v>
      </c>
      <c r="F45" s="9"/>
      <c r="G45" s="9" t="s">
        <v>35</v>
      </c>
      <c r="H45" s="9"/>
      <c r="I45" s="9" t="s">
        <v>35</v>
      </c>
      <c r="J45" s="9"/>
      <c r="K45" s="9" t="s">
        <v>35</v>
      </c>
      <c r="L45" s="9"/>
      <c r="M45" s="9"/>
      <c r="N45" s="9"/>
      <c r="O45" s="9" t="s">
        <v>49</v>
      </c>
      <c r="P45" s="9" t="s">
        <v>154</v>
      </c>
      <c r="Q45" s="9" t="n">
        <v>1</v>
      </c>
      <c r="R45" s="9" t="n">
        <v>1</v>
      </c>
    </row>
    <row r="46" customFormat="false" ht="15" hidden="false" customHeight="true" outlineLevel="0" collapsed="false">
      <c r="A46" s="9" t="s">
        <v>198</v>
      </c>
      <c r="B46" s="9" t="s">
        <v>103</v>
      </c>
      <c r="C46" s="9" t="n">
        <v>1</v>
      </c>
      <c r="D46" s="9" t="n">
        <v>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 t="s">
        <v>49</v>
      </c>
      <c r="P46" s="9" t="s">
        <v>154</v>
      </c>
      <c r="Q46" s="9" t="n">
        <v>1</v>
      </c>
      <c r="R46" s="9" t="n">
        <v>0</v>
      </c>
    </row>
    <row r="47" customFormat="false" ht="15" hidden="false" customHeight="true" outlineLevel="0" collapsed="false">
      <c r="A47" s="9" t="s">
        <v>199</v>
      </c>
      <c r="B47" s="9" t="s">
        <v>103</v>
      </c>
      <c r="C47" s="9" t="n">
        <v>1</v>
      </c>
      <c r="D47" s="9" t="n">
        <v>0</v>
      </c>
      <c r="E47" s="9" t="s">
        <v>35</v>
      </c>
      <c r="F47" s="9"/>
      <c r="G47" s="9" t="s">
        <v>35</v>
      </c>
      <c r="H47" s="9"/>
      <c r="I47" s="9" t="s">
        <v>35</v>
      </c>
      <c r="J47" s="9"/>
      <c r="K47" s="9" t="s">
        <v>35</v>
      </c>
      <c r="L47" s="9"/>
      <c r="M47" s="9"/>
      <c r="N47" s="9"/>
      <c r="O47" s="9" t="s">
        <v>49</v>
      </c>
      <c r="P47" s="9" t="s">
        <v>154</v>
      </c>
      <c r="Q47" s="9" t="n">
        <v>1</v>
      </c>
      <c r="R47" s="9" t="n">
        <v>1</v>
      </c>
    </row>
    <row r="48" customFormat="false" ht="15" hidden="false" customHeight="true" outlineLevel="0" collapsed="false">
      <c r="A48" s="9" t="s">
        <v>200</v>
      </c>
      <c r="B48" s="9" t="s">
        <v>103</v>
      </c>
      <c r="C48" s="9" t="n">
        <v>1</v>
      </c>
      <c r="D48" s="9" t="n">
        <v>0</v>
      </c>
      <c r="E48" s="9" t="s">
        <v>35</v>
      </c>
      <c r="F48" s="9"/>
      <c r="G48" s="9" t="s">
        <v>35</v>
      </c>
      <c r="H48" s="9"/>
      <c r="I48" s="9" t="s">
        <v>35</v>
      </c>
      <c r="J48" s="9"/>
      <c r="K48" s="9" t="s">
        <v>35</v>
      </c>
      <c r="L48" s="9"/>
      <c r="M48" s="9"/>
      <c r="N48" s="9"/>
      <c r="O48" s="9" t="s">
        <v>49</v>
      </c>
      <c r="P48" s="9" t="s">
        <v>154</v>
      </c>
      <c r="Q48" s="9" t="n">
        <v>1</v>
      </c>
      <c r="R48" s="9" t="n">
        <v>1</v>
      </c>
    </row>
    <row r="49" customFormat="false" ht="15" hidden="false" customHeight="true" outlineLevel="0" collapsed="false">
      <c r="A49" s="9" t="s">
        <v>201</v>
      </c>
      <c r="B49" s="9" t="s">
        <v>104</v>
      </c>
      <c r="C49" s="9" t="n">
        <v>1</v>
      </c>
      <c r="D49" s="9" t="n">
        <v>0</v>
      </c>
      <c r="E49" s="9" t="s">
        <v>35</v>
      </c>
      <c r="F49" s="9"/>
      <c r="G49" s="9" t="s">
        <v>35</v>
      </c>
      <c r="H49" s="9"/>
      <c r="I49" s="9" t="s">
        <v>35</v>
      </c>
      <c r="J49" s="9"/>
      <c r="K49" s="9" t="s">
        <v>35</v>
      </c>
      <c r="L49" s="9"/>
      <c r="M49" s="9"/>
      <c r="N49" s="9"/>
      <c r="O49" s="9" t="s">
        <v>49</v>
      </c>
      <c r="P49" s="9" t="s">
        <v>154</v>
      </c>
      <c r="Q49" s="9" t="n">
        <v>1</v>
      </c>
      <c r="R49" s="9" t="n">
        <v>1</v>
      </c>
    </row>
    <row r="50" customFormat="false" ht="15" hidden="false" customHeight="true" outlineLevel="0" collapsed="false">
      <c r="A50" s="9" t="s">
        <v>202</v>
      </c>
      <c r="B50" s="9" t="s">
        <v>104</v>
      </c>
      <c r="C50" s="9" t="n">
        <v>1</v>
      </c>
      <c r="D50" s="9" t="n">
        <v>0</v>
      </c>
      <c r="E50" s="9" t="s">
        <v>35</v>
      </c>
      <c r="F50" s="9"/>
      <c r="G50" s="9" t="s">
        <v>35</v>
      </c>
      <c r="H50" s="9"/>
      <c r="I50" s="9" t="s">
        <v>35</v>
      </c>
      <c r="J50" s="9"/>
      <c r="K50" s="9" t="s">
        <v>35</v>
      </c>
      <c r="L50" s="9"/>
      <c r="M50" s="9"/>
      <c r="N50" s="9"/>
      <c r="O50" s="9" t="s">
        <v>49</v>
      </c>
      <c r="P50" s="9" t="s">
        <v>154</v>
      </c>
      <c r="Q50" s="9" t="n">
        <v>1</v>
      </c>
      <c r="R50" s="9" t="n">
        <v>1</v>
      </c>
    </row>
    <row r="51" customFormat="false" ht="15" hidden="false" customHeight="true" outlineLevel="0" collapsed="false">
      <c r="A51" s="9" t="s">
        <v>203</v>
      </c>
      <c r="B51" s="9" t="s">
        <v>104</v>
      </c>
      <c r="C51" s="9" t="n">
        <v>1</v>
      </c>
      <c r="D51" s="9" t="n">
        <v>0</v>
      </c>
      <c r="E51" s="9" t="s">
        <v>35</v>
      </c>
      <c r="F51" s="9"/>
      <c r="G51" s="9" t="s">
        <v>35</v>
      </c>
      <c r="H51" s="9"/>
      <c r="I51" s="9" t="s">
        <v>35</v>
      </c>
      <c r="J51" s="9"/>
      <c r="K51" s="9" t="s">
        <v>35</v>
      </c>
      <c r="L51" s="9"/>
      <c r="M51" s="9"/>
      <c r="N51" s="9"/>
      <c r="O51" s="9" t="s">
        <v>49</v>
      </c>
      <c r="P51" s="9" t="s">
        <v>154</v>
      </c>
      <c r="Q51" s="9" t="n">
        <v>1</v>
      </c>
      <c r="R51" s="9" t="n">
        <v>1</v>
      </c>
    </row>
    <row r="52" customFormat="false" ht="15" hidden="false" customHeight="true" outlineLevel="0" collapsed="false">
      <c r="A52" s="9" t="s">
        <v>204</v>
      </c>
      <c r="B52" s="9" t="s">
        <v>104</v>
      </c>
      <c r="C52" s="9" t="n">
        <v>1</v>
      </c>
      <c r="D52" s="9" t="n">
        <v>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 t="s">
        <v>49</v>
      </c>
      <c r="P52" s="9" t="s">
        <v>154</v>
      </c>
      <c r="Q52" s="9" t="n">
        <v>1</v>
      </c>
      <c r="R52" s="9" t="n">
        <v>0</v>
      </c>
    </row>
    <row r="53" customFormat="false" ht="15" hidden="false" customHeight="true" outlineLevel="0" collapsed="false">
      <c r="A53" s="9" t="s">
        <v>205</v>
      </c>
      <c r="B53" s="9" t="s">
        <v>104</v>
      </c>
      <c r="C53" s="9" t="n">
        <v>1</v>
      </c>
      <c r="D53" s="9" t="n">
        <v>0</v>
      </c>
      <c r="E53" s="9" t="s">
        <v>35</v>
      </c>
      <c r="F53" s="9"/>
      <c r="G53" s="9" t="s">
        <v>35</v>
      </c>
      <c r="H53" s="9"/>
      <c r="I53" s="9" t="s">
        <v>35</v>
      </c>
      <c r="J53" s="9"/>
      <c r="K53" s="9" t="s">
        <v>35</v>
      </c>
      <c r="L53" s="9"/>
      <c r="M53" s="9"/>
      <c r="N53" s="9"/>
      <c r="O53" s="9" t="s">
        <v>49</v>
      </c>
      <c r="P53" s="9" t="s">
        <v>154</v>
      </c>
      <c r="Q53" s="9" t="n">
        <v>1</v>
      </c>
      <c r="R53" s="9" t="n">
        <v>1</v>
      </c>
    </row>
    <row r="54" customFormat="false" ht="15" hidden="false" customHeight="true" outlineLevel="0" collapsed="false">
      <c r="A54" s="9" t="s">
        <v>206</v>
      </c>
      <c r="B54" s="9" t="s">
        <v>105</v>
      </c>
      <c r="C54" s="9" t="n">
        <v>1</v>
      </c>
      <c r="D54" s="9" t="n">
        <v>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 t="s">
        <v>49</v>
      </c>
      <c r="P54" s="9" t="s">
        <v>154</v>
      </c>
      <c r="Q54" s="9" t="n">
        <v>1</v>
      </c>
      <c r="R54" s="9" t="n">
        <v>0</v>
      </c>
    </row>
    <row r="55" customFormat="false" ht="15" hidden="false" customHeight="true" outlineLevel="0" collapsed="false">
      <c r="A55" s="9" t="s">
        <v>207</v>
      </c>
      <c r="B55" s="9" t="s">
        <v>105</v>
      </c>
      <c r="C55" s="9" t="n">
        <v>1</v>
      </c>
      <c r="D55" s="9" t="n">
        <v>0</v>
      </c>
      <c r="E55" s="9" t="s">
        <v>35</v>
      </c>
      <c r="F55" s="9"/>
      <c r="G55" s="9" t="s">
        <v>35</v>
      </c>
      <c r="H55" s="9"/>
      <c r="I55" s="9" t="s">
        <v>35</v>
      </c>
      <c r="J55" s="9"/>
      <c r="K55" s="9" t="s">
        <v>35</v>
      </c>
      <c r="L55" s="9"/>
      <c r="M55" s="9"/>
      <c r="N55" s="9"/>
      <c r="O55" s="9" t="s">
        <v>49</v>
      </c>
      <c r="P55" s="9" t="s">
        <v>154</v>
      </c>
      <c r="Q55" s="9" t="n">
        <v>1</v>
      </c>
      <c r="R55" s="9" t="n">
        <v>1</v>
      </c>
    </row>
    <row r="56" customFormat="false" ht="15" hidden="false" customHeight="true" outlineLevel="0" collapsed="false">
      <c r="A56" s="9" t="s">
        <v>208</v>
      </c>
      <c r="B56" s="9" t="s">
        <v>105</v>
      </c>
      <c r="C56" s="9" t="n">
        <v>1</v>
      </c>
      <c r="D56" s="9" t="n">
        <v>0</v>
      </c>
      <c r="E56" s="9" t="s">
        <v>35</v>
      </c>
      <c r="F56" s="9"/>
      <c r="G56" s="9" t="s">
        <v>35</v>
      </c>
      <c r="H56" s="9"/>
      <c r="I56" s="9" t="s">
        <v>35</v>
      </c>
      <c r="J56" s="9"/>
      <c r="K56" s="9" t="s">
        <v>35</v>
      </c>
      <c r="L56" s="9"/>
      <c r="M56" s="9"/>
      <c r="N56" s="9"/>
      <c r="O56" s="9" t="s">
        <v>49</v>
      </c>
      <c r="P56" s="9" t="s">
        <v>154</v>
      </c>
      <c r="Q56" s="9" t="n">
        <v>1</v>
      </c>
      <c r="R56" s="9" t="n">
        <v>1</v>
      </c>
    </row>
    <row r="57" customFormat="false" ht="15" hidden="false" customHeight="true" outlineLevel="0" collapsed="false">
      <c r="A57" s="9" t="s">
        <v>209</v>
      </c>
      <c r="B57" s="9" t="s">
        <v>105</v>
      </c>
      <c r="C57" s="9" t="n">
        <v>1</v>
      </c>
      <c r="D57" s="9" t="n">
        <v>0</v>
      </c>
      <c r="E57" s="9" t="s">
        <v>35</v>
      </c>
      <c r="F57" s="9"/>
      <c r="G57" s="9" t="s">
        <v>35</v>
      </c>
      <c r="H57" s="9"/>
      <c r="I57" s="9" t="s">
        <v>35</v>
      </c>
      <c r="J57" s="9"/>
      <c r="K57" s="9" t="s">
        <v>35</v>
      </c>
      <c r="L57" s="9"/>
      <c r="M57" s="9"/>
      <c r="N57" s="9"/>
      <c r="O57" s="9" t="s">
        <v>49</v>
      </c>
      <c r="P57" s="9" t="s">
        <v>154</v>
      </c>
      <c r="Q57" s="9" t="n">
        <v>1</v>
      </c>
      <c r="R57" s="9" t="n">
        <v>1</v>
      </c>
    </row>
    <row r="58" customFormat="false" ht="15" hidden="false" customHeight="true" outlineLevel="0" collapsed="false">
      <c r="A58" s="9" t="s">
        <v>210</v>
      </c>
      <c r="B58" s="9" t="s">
        <v>105</v>
      </c>
      <c r="C58" s="9" t="n">
        <v>1</v>
      </c>
      <c r="D58" s="9" t="n">
        <v>0</v>
      </c>
      <c r="E58" s="9" t="s">
        <v>35</v>
      </c>
      <c r="F58" s="9"/>
      <c r="G58" s="9" t="s">
        <v>35</v>
      </c>
      <c r="H58" s="9"/>
      <c r="I58" s="9" t="s">
        <v>35</v>
      </c>
      <c r="J58" s="9"/>
      <c r="K58" s="9" t="s">
        <v>35</v>
      </c>
      <c r="L58" s="9"/>
      <c r="M58" s="9"/>
      <c r="N58" s="9"/>
      <c r="O58" s="9" t="s">
        <v>49</v>
      </c>
      <c r="P58" s="9" t="s">
        <v>154</v>
      </c>
      <c r="Q58" s="9" t="n">
        <v>1</v>
      </c>
      <c r="R58" s="9" t="n">
        <v>1</v>
      </c>
    </row>
    <row r="59" customFormat="false" ht="15" hidden="false" customHeight="true" outlineLevel="0" collapsed="false">
      <c r="A59" s="9" t="s">
        <v>211</v>
      </c>
      <c r="B59" s="9" t="s">
        <v>106</v>
      </c>
      <c r="C59" s="9" t="n">
        <v>1</v>
      </c>
      <c r="D59" s="9" t="n">
        <v>0</v>
      </c>
      <c r="E59" s="9" t="s">
        <v>35</v>
      </c>
      <c r="F59" s="9"/>
      <c r="G59" s="9" t="s">
        <v>35</v>
      </c>
      <c r="H59" s="9"/>
      <c r="I59" s="9" t="s">
        <v>35</v>
      </c>
      <c r="J59" s="9"/>
      <c r="K59" s="9" t="s">
        <v>35</v>
      </c>
      <c r="L59" s="9"/>
      <c r="M59" s="9"/>
      <c r="N59" s="9"/>
      <c r="O59" s="9" t="s">
        <v>49</v>
      </c>
      <c r="P59" s="9" t="s">
        <v>154</v>
      </c>
      <c r="Q59" s="9" t="n">
        <v>1</v>
      </c>
      <c r="R59" s="9" t="n">
        <v>1</v>
      </c>
    </row>
    <row r="60" customFormat="false" ht="15" hidden="false" customHeight="true" outlineLevel="0" collapsed="false">
      <c r="A60" s="9" t="s">
        <v>212</v>
      </c>
      <c r="B60" s="9" t="s">
        <v>106</v>
      </c>
      <c r="C60" s="9" t="n">
        <v>1</v>
      </c>
      <c r="D60" s="9" t="n">
        <v>0</v>
      </c>
      <c r="E60" s="9" t="s">
        <v>35</v>
      </c>
      <c r="F60" s="9"/>
      <c r="G60" s="9" t="s">
        <v>35</v>
      </c>
      <c r="H60" s="9"/>
      <c r="I60" s="9" t="s">
        <v>35</v>
      </c>
      <c r="J60" s="9"/>
      <c r="K60" s="9" t="s">
        <v>35</v>
      </c>
      <c r="L60" s="9"/>
      <c r="M60" s="9"/>
      <c r="N60" s="9"/>
      <c r="O60" s="9" t="s">
        <v>49</v>
      </c>
      <c r="P60" s="9" t="s">
        <v>154</v>
      </c>
      <c r="Q60" s="9" t="n">
        <v>1</v>
      </c>
      <c r="R60" s="9" t="n">
        <v>1</v>
      </c>
    </row>
    <row r="61" customFormat="false" ht="15" hidden="false" customHeight="true" outlineLevel="0" collapsed="false">
      <c r="A61" s="9" t="s">
        <v>213</v>
      </c>
      <c r="B61" s="9" t="s">
        <v>106</v>
      </c>
      <c r="C61" s="9" t="n">
        <v>1</v>
      </c>
      <c r="D61" s="9" t="n">
        <v>0</v>
      </c>
      <c r="E61" s="9" t="s">
        <v>35</v>
      </c>
      <c r="F61" s="9"/>
      <c r="G61" s="9" t="s">
        <v>35</v>
      </c>
      <c r="H61" s="9"/>
      <c r="I61" s="9" t="s">
        <v>35</v>
      </c>
      <c r="J61" s="9"/>
      <c r="K61" s="9" t="s">
        <v>35</v>
      </c>
      <c r="L61" s="9"/>
      <c r="M61" s="9"/>
      <c r="N61" s="9"/>
      <c r="O61" s="9" t="s">
        <v>49</v>
      </c>
      <c r="P61" s="9" t="s">
        <v>154</v>
      </c>
      <c r="Q61" s="9" t="n">
        <v>1</v>
      </c>
      <c r="R61" s="9" t="n">
        <v>1</v>
      </c>
    </row>
    <row r="62" customFormat="false" ht="15" hidden="false" customHeight="true" outlineLevel="0" collapsed="false">
      <c r="A62" s="9" t="s">
        <v>214</v>
      </c>
      <c r="B62" s="9" t="s">
        <v>106</v>
      </c>
      <c r="C62" s="9" t="n">
        <v>1</v>
      </c>
      <c r="D62" s="9" t="n">
        <v>0</v>
      </c>
      <c r="E62" s="9" t="s">
        <v>35</v>
      </c>
      <c r="F62" s="9"/>
      <c r="G62" s="9" t="s">
        <v>35</v>
      </c>
      <c r="H62" s="9"/>
      <c r="I62" s="9" t="s">
        <v>35</v>
      </c>
      <c r="J62" s="9"/>
      <c r="K62" s="9" t="s">
        <v>35</v>
      </c>
      <c r="L62" s="9"/>
      <c r="M62" s="9"/>
      <c r="N62" s="9"/>
      <c r="O62" s="9" t="s">
        <v>49</v>
      </c>
      <c r="P62" s="9" t="s">
        <v>154</v>
      </c>
      <c r="Q62" s="9" t="n">
        <v>1</v>
      </c>
      <c r="R62" s="9" t="n">
        <v>1</v>
      </c>
    </row>
    <row r="63" customFormat="false" ht="15" hidden="false" customHeight="true" outlineLevel="0" collapsed="false">
      <c r="A63" s="9" t="s">
        <v>215</v>
      </c>
      <c r="B63" s="9" t="s">
        <v>107</v>
      </c>
      <c r="C63" s="9" t="n">
        <v>1</v>
      </c>
      <c r="D63" s="9" t="n">
        <v>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 t="s">
        <v>49</v>
      </c>
      <c r="P63" s="9" t="s">
        <v>154</v>
      </c>
      <c r="Q63" s="9" t="n">
        <v>1</v>
      </c>
      <c r="R63" s="9" t="n">
        <v>0</v>
      </c>
    </row>
    <row r="64" customFormat="false" ht="15" hidden="false" customHeight="true" outlineLevel="0" collapsed="false">
      <c r="A64" s="9" t="s">
        <v>216</v>
      </c>
      <c r="B64" s="9" t="s">
        <v>107</v>
      </c>
      <c r="C64" s="9" t="n">
        <v>1</v>
      </c>
      <c r="D64" s="9" t="n">
        <v>0</v>
      </c>
      <c r="E64" s="9" t="s">
        <v>35</v>
      </c>
      <c r="F64" s="9"/>
      <c r="G64" s="9" t="s">
        <v>35</v>
      </c>
      <c r="H64" s="9"/>
      <c r="I64" s="9" t="s">
        <v>35</v>
      </c>
      <c r="J64" s="9"/>
      <c r="K64" s="9" t="s">
        <v>35</v>
      </c>
      <c r="L64" s="9"/>
      <c r="M64" s="9"/>
      <c r="N64" s="9"/>
      <c r="O64" s="9" t="s">
        <v>49</v>
      </c>
      <c r="P64" s="9" t="s">
        <v>154</v>
      </c>
      <c r="Q64" s="9" t="n">
        <v>1</v>
      </c>
      <c r="R64" s="9" t="n">
        <v>1</v>
      </c>
    </row>
    <row r="65" customFormat="false" ht="15" hidden="false" customHeight="true" outlineLevel="0" collapsed="false">
      <c r="A65" s="9" t="s">
        <v>217</v>
      </c>
      <c r="B65" s="9" t="s">
        <v>107</v>
      </c>
      <c r="C65" s="9" t="n">
        <v>1</v>
      </c>
      <c r="D65" s="9" t="n">
        <v>0</v>
      </c>
      <c r="E65" s="9" t="s">
        <v>35</v>
      </c>
      <c r="F65" s="9"/>
      <c r="G65" s="9" t="s">
        <v>35</v>
      </c>
      <c r="H65" s="9"/>
      <c r="I65" s="9" t="s">
        <v>35</v>
      </c>
      <c r="J65" s="9"/>
      <c r="K65" s="9" t="s">
        <v>35</v>
      </c>
      <c r="L65" s="9"/>
      <c r="M65" s="9"/>
      <c r="N65" s="9"/>
      <c r="O65" s="9" t="s">
        <v>49</v>
      </c>
      <c r="P65" s="9" t="s">
        <v>154</v>
      </c>
      <c r="Q65" s="9" t="n">
        <v>1</v>
      </c>
      <c r="R65" s="9" t="n">
        <v>1</v>
      </c>
    </row>
    <row r="66" customFormat="false" ht="15" hidden="false" customHeight="true" outlineLevel="0" collapsed="false">
      <c r="A66" s="9" t="s">
        <v>218</v>
      </c>
      <c r="B66" s="9" t="s">
        <v>107</v>
      </c>
      <c r="C66" s="9" t="n">
        <v>1</v>
      </c>
      <c r="D66" s="9" t="n">
        <v>0</v>
      </c>
      <c r="E66" s="9" t="s">
        <v>35</v>
      </c>
      <c r="F66" s="9"/>
      <c r="G66" s="9" t="s">
        <v>35</v>
      </c>
      <c r="H66" s="9"/>
      <c r="I66" s="9" t="s">
        <v>35</v>
      </c>
      <c r="J66" s="9"/>
      <c r="K66" s="9" t="s">
        <v>35</v>
      </c>
      <c r="L66" s="9"/>
      <c r="M66" s="9"/>
      <c r="N66" s="9"/>
      <c r="O66" s="9" t="s">
        <v>49</v>
      </c>
      <c r="P66" s="9" t="s">
        <v>154</v>
      </c>
      <c r="Q66" s="9" t="n">
        <v>1</v>
      </c>
      <c r="R66" s="9" t="n">
        <v>1</v>
      </c>
    </row>
    <row r="67" customFormat="false" ht="15" hidden="false" customHeight="true" outlineLevel="0" collapsed="false">
      <c r="A67" s="9" t="s">
        <v>219</v>
      </c>
      <c r="B67" s="9" t="s">
        <v>107</v>
      </c>
      <c r="C67" s="9" t="n">
        <v>1</v>
      </c>
      <c r="D67" s="9" t="n">
        <v>0</v>
      </c>
      <c r="E67" s="9" t="s">
        <v>35</v>
      </c>
      <c r="F67" s="9"/>
      <c r="G67" s="9" t="s">
        <v>35</v>
      </c>
      <c r="H67" s="9"/>
      <c r="I67" s="9" t="s">
        <v>35</v>
      </c>
      <c r="J67" s="9"/>
      <c r="K67" s="9" t="s">
        <v>35</v>
      </c>
      <c r="L67" s="9"/>
      <c r="M67" s="9"/>
      <c r="N67" s="9"/>
      <c r="O67" s="9" t="s">
        <v>49</v>
      </c>
      <c r="P67" s="9" t="s">
        <v>154</v>
      </c>
      <c r="Q67" s="9" t="n">
        <v>1</v>
      </c>
      <c r="R67" s="9" t="n">
        <v>1</v>
      </c>
    </row>
    <row r="68" customFormat="false" ht="15" hidden="false" customHeight="true" outlineLevel="0" collapsed="false">
      <c r="A68" s="9" t="s">
        <v>220</v>
      </c>
      <c r="B68" s="9" t="s">
        <v>108</v>
      </c>
      <c r="C68" s="9" t="n">
        <v>1</v>
      </c>
      <c r="D68" s="9" t="n">
        <v>0</v>
      </c>
      <c r="E68" s="9" t="s">
        <v>35</v>
      </c>
      <c r="F68" s="9"/>
      <c r="G68" s="9" t="s">
        <v>35</v>
      </c>
      <c r="H68" s="9"/>
      <c r="I68" s="9" t="s">
        <v>35</v>
      </c>
      <c r="J68" s="9"/>
      <c r="K68" s="9" t="s">
        <v>35</v>
      </c>
      <c r="L68" s="9"/>
      <c r="M68" s="9"/>
      <c r="N68" s="9"/>
      <c r="O68" s="9" t="s">
        <v>49</v>
      </c>
      <c r="P68" s="9" t="s">
        <v>154</v>
      </c>
      <c r="Q68" s="9" t="n">
        <v>1</v>
      </c>
      <c r="R68" s="9" t="n">
        <v>1</v>
      </c>
    </row>
    <row r="69" customFormat="false" ht="15" hidden="false" customHeight="true" outlineLevel="0" collapsed="false">
      <c r="A69" s="9" t="s">
        <v>221</v>
      </c>
      <c r="B69" s="9" t="s">
        <v>108</v>
      </c>
      <c r="C69" s="9" t="n">
        <v>1</v>
      </c>
      <c r="D69" s="9" t="n">
        <v>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 t="s">
        <v>49</v>
      </c>
      <c r="P69" s="9" t="s">
        <v>154</v>
      </c>
      <c r="Q69" s="9" t="n">
        <v>1</v>
      </c>
      <c r="R69" s="9" t="n">
        <v>0</v>
      </c>
    </row>
    <row r="70" customFormat="false" ht="15" hidden="false" customHeight="true" outlineLevel="0" collapsed="false">
      <c r="A70" s="9" t="s">
        <v>222</v>
      </c>
      <c r="B70" s="9" t="s">
        <v>108</v>
      </c>
      <c r="C70" s="9" t="n">
        <v>1</v>
      </c>
      <c r="D70" s="9" t="n">
        <v>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 t="s">
        <v>49</v>
      </c>
      <c r="P70" s="9" t="s">
        <v>154</v>
      </c>
      <c r="Q70" s="9" t="n">
        <v>1</v>
      </c>
      <c r="R70" s="9" t="n">
        <v>0</v>
      </c>
    </row>
    <row r="71" customFormat="false" ht="15" hidden="false" customHeight="true" outlineLevel="0" collapsed="false">
      <c r="A71" s="9" t="s">
        <v>223</v>
      </c>
      <c r="B71" s="9" t="s">
        <v>108</v>
      </c>
      <c r="C71" s="9" t="n">
        <v>1</v>
      </c>
      <c r="D71" s="9" t="n">
        <v>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 t="s">
        <v>49</v>
      </c>
      <c r="P71" s="9" t="s">
        <v>154</v>
      </c>
      <c r="Q71" s="9" t="n">
        <v>1</v>
      </c>
      <c r="R71" s="9" t="n">
        <v>0</v>
      </c>
    </row>
    <row r="72" customFormat="false" ht="15" hidden="false" customHeight="true" outlineLevel="0" collapsed="false">
      <c r="A72" s="9" t="s">
        <v>224</v>
      </c>
      <c r="B72" s="9" t="s">
        <v>108</v>
      </c>
      <c r="C72" s="9" t="n">
        <v>1</v>
      </c>
      <c r="D72" s="9" t="n">
        <v>0</v>
      </c>
      <c r="E72" s="9" t="s">
        <v>35</v>
      </c>
      <c r="F72" s="9"/>
      <c r="G72" s="9" t="s">
        <v>35</v>
      </c>
      <c r="H72" s="9"/>
      <c r="I72" s="9" t="s">
        <v>35</v>
      </c>
      <c r="J72" s="9"/>
      <c r="K72" s="9" t="s">
        <v>35</v>
      </c>
      <c r="L72" s="9"/>
      <c r="M72" s="9"/>
      <c r="N72" s="9"/>
      <c r="O72" s="9" t="s">
        <v>49</v>
      </c>
      <c r="P72" s="9" t="s">
        <v>154</v>
      </c>
      <c r="Q72" s="9" t="n">
        <v>1</v>
      </c>
      <c r="R72" s="9" t="n">
        <v>1</v>
      </c>
    </row>
    <row r="73" customFormat="false" ht="15" hidden="false" customHeight="true" outlineLevel="0" collapsed="false">
      <c r="A73" s="9" t="s">
        <v>225</v>
      </c>
      <c r="B73" s="9" t="s">
        <v>109</v>
      </c>
      <c r="C73" s="9" t="n">
        <v>1</v>
      </c>
      <c r="D73" s="9" t="n">
        <v>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 t="s">
        <v>49</v>
      </c>
      <c r="P73" s="9" t="s">
        <v>154</v>
      </c>
      <c r="Q73" s="9" t="n">
        <v>1</v>
      </c>
      <c r="R73" s="9" t="n">
        <v>0</v>
      </c>
    </row>
    <row r="74" customFormat="false" ht="15" hidden="false" customHeight="true" outlineLevel="0" collapsed="false">
      <c r="A74" s="9" t="s">
        <v>226</v>
      </c>
      <c r="B74" s="9" t="s">
        <v>109</v>
      </c>
      <c r="C74" s="9" t="n">
        <v>1</v>
      </c>
      <c r="D74" s="9" t="n">
        <v>0</v>
      </c>
      <c r="E74" s="9" t="s">
        <v>35</v>
      </c>
      <c r="F74" s="9"/>
      <c r="G74" s="9" t="s">
        <v>35</v>
      </c>
      <c r="H74" s="9"/>
      <c r="I74" s="9" t="s">
        <v>35</v>
      </c>
      <c r="J74" s="9"/>
      <c r="K74" s="9" t="s">
        <v>35</v>
      </c>
      <c r="L74" s="9"/>
      <c r="M74" s="9"/>
      <c r="N74" s="9"/>
      <c r="O74" s="9" t="s">
        <v>49</v>
      </c>
      <c r="P74" s="9" t="s">
        <v>154</v>
      </c>
      <c r="Q74" s="9" t="n">
        <v>1</v>
      </c>
      <c r="R74" s="9" t="n">
        <v>1</v>
      </c>
    </row>
    <row r="75" customFormat="false" ht="15" hidden="false" customHeight="true" outlineLevel="0" collapsed="false">
      <c r="A75" s="9" t="s">
        <v>227</v>
      </c>
      <c r="B75" s="9" t="s">
        <v>110</v>
      </c>
      <c r="C75" s="9" t="n">
        <v>1</v>
      </c>
      <c r="D75" s="9" t="n">
        <v>0</v>
      </c>
      <c r="E75" s="9" t="s">
        <v>35</v>
      </c>
      <c r="F75" s="9"/>
      <c r="G75" s="9" t="s">
        <v>35</v>
      </c>
      <c r="H75" s="9"/>
      <c r="I75" s="9" t="s">
        <v>35</v>
      </c>
      <c r="J75" s="9"/>
      <c r="K75" s="9" t="s">
        <v>35</v>
      </c>
      <c r="L75" s="9"/>
      <c r="M75" s="9"/>
      <c r="N75" s="9"/>
      <c r="O75" s="9" t="s">
        <v>49</v>
      </c>
      <c r="P75" s="9" t="s">
        <v>154</v>
      </c>
      <c r="Q75" s="9" t="n">
        <v>1</v>
      </c>
      <c r="R75" s="9" t="n">
        <v>1</v>
      </c>
    </row>
    <row r="76" customFormat="false" ht="15" hidden="false" customHeight="true" outlineLevel="0" collapsed="false">
      <c r="A76" s="9" t="s">
        <v>228</v>
      </c>
      <c r="B76" s="9" t="s">
        <v>110</v>
      </c>
      <c r="C76" s="9" t="n">
        <v>1</v>
      </c>
      <c r="D76" s="9" t="n">
        <v>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 t="s">
        <v>49</v>
      </c>
      <c r="P76" s="9" t="s">
        <v>154</v>
      </c>
      <c r="Q76" s="9" t="n">
        <v>1</v>
      </c>
      <c r="R76" s="9" t="n">
        <v>0</v>
      </c>
    </row>
    <row r="77" customFormat="false" ht="15" hidden="false" customHeight="true" outlineLevel="0" collapsed="false">
      <c r="A77" s="9" t="s">
        <v>229</v>
      </c>
      <c r="B77" s="9" t="s">
        <v>110</v>
      </c>
      <c r="C77" s="9" t="n">
        <v>1</v>
      </c>
      <c r="D77" s="9" t="n">
        <v>0</v>
      </c>
      <c r="E77" s="9" t="s">
        <v>35</v>
      </c>
      <c r="F77" s="9"/>
      <c r="G77" s="9" t="s">
        <v>35</v>
      </c>
      <c r="H77" s="9"/>
      <c r="I77" s="9" t="s">
        <v>35</v>
      </c>
      <c r="J77" s="9"/>
      <c r="K77" s="9" t="s">
        <v>35</v>
      </c>
      <c r="L77" s="9"/>
      <c r="M77" s="9"/>
      <c r="N77" s="9"/>
      <c r="O77" s="9" t="s">
        <v>49</v>
      </c>
      <c r="P77" s="9" t="s">
        <v>154</v>
      </c>
      <c r="Q77" s="9" t="n">
        <v>1</v>
      </c>
      <c r="R77" s="9" t="n">
        <v>1</v>
      </c>
    </row>
    <row r="78" customFormat="false" ht="15" hidden="false" customHeight="true" outlineLevel="0" collapsed="false">
      <c r="A78" s="9" t="s">
        <v>230</v>
      </c>
      <c r="B78" s="9" t="s">
        <v>110</v>
      </c>
      <c r="C78" s="9" t="n">
        <v>1</v>
      </c>
      <c r="D78" s="9" t="n">
        <v>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 t="s">
        <v>49</v>
      </c>
      <c r="P78" s="9" t="s">
        <v>154</v>
      </c>
      <c r="Q78" s="9" t="n">
        <v>1</v>
      </c>
      <c r="R78" s="9" t="n">
        <v>0</v>
      </c>
    </row>
    <row r="79" customFormat="false" ht="15" hidden="false" customHeight="true" outlineLevel="0" collapsed="false">
      <c r="A79" s="9" t="s">
        <v>231</v>
      </c>
      <c r="B79" s="9" t="s">
        <v>111</v>
      </c>
      <c r="C79" s="9" t="n">
        <v>1</v>
      </c>
      <c r="D79" s="9" t="n">
        <v>0</v>
      </c>
      <c r="E79" s="9" t="s">
        <v>35</v>
      </c>
      <c r="F79" s="9"/>
      <c r="G79" s="9" t="s">
        <v>35</v>
      </c>
      <c r="H79" s="9"/>
      <c r="I79" s="9" t="s">
        <v>35</v>
      </c>
      <c r="J79" s="9"/>
      <c r="K79" s="9" t="s">
        <v>35</v>
      </c>
      <c r="L79" s="9"/>
      <c r="M79" s="9"/>
      <c r="N79" s="9"/>
      <c r="O79" s="9" t="s">
        <v>49</v>
      </c>
      <c r="P79" s="9" t="s">
        <v>154</v>
      </c>
      <c r="Q79" s="9" t="n">
        <v>1</v>
      </c>
      <c r="R79" s="9" t="n">
        <v>1</v>
      </c>
    </row>
    <row r="80" customFormat="false" ht="15" hidden="false" customHeight="true" outlineLevel="0" collapsed="false">
      <c r="A80" s="9" t="s">
        <v>232</v>
      </c>
      <c r="B80" s="9" t="s">
        <v>111</v>
      </c>
      <c r="C80" s="9" t="n">
        <v>1</v>
      </c>
      <c r="D80" s="9" t="n">
        <v>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 t="s">
        <v>49</v>
      </c>
      <c r="P80" s="9" t="s">
        <v>154</v>
      </c>
      <c r="Q80" s="9" t="n">
        <v>1</v>
      </c>
      <c r="R80" s="9" t="n">
        <v>0</v>
      </c>
    </row>
    <row r="81" customFormat="false" ht="15" hidden="false" customHeight="true" outlineLevel="0" collapsed="false">
      <c r="A81" s="9" t="s">
        <v>233</v>
      </c>
      <c r="B81" s="9" t="s">
        <v>111</v>
      </c>
      <c r="C81" s="9" t="n">
        <v>1</v>
      </c>
      <c r="D81" s="9" t="n">
        <v>0</v>
      </c>
      <c r="E81" s="9" t="s">
        <v>35</v>
      </c>
      <c r="F81" s="9"/>
      <c r="G81" s="9" t="s">
        <v>35</v>
      </c>
      <c r="H81" s="9"/>
      <c r="I81" s="9" t="s">
        <v>35</v>
      </c>
      <c r="J81" s="9"/>
      <c r="K81" s="9" t="s">
        <v>35</v>
      </c>
      <c r="L81" s="9"/>
      <c r="M81" s="9"/>
      <c r="N81" s="9"/>
      <c r="O81" s="9" t="s">
        <v>49</v>
      </c>
      <c r="P81" s="9" t="s">
        <v>154</v>
      </c>
      <c r="Q81" s="9" t="n">
        <v>1</v>
      </c>
      <c r="R81" s="9" t="n">
        <v>1</v>
      </c>
    </row>
    <row r="82" customFormat="false" ht="15" hidden="false" customHeight="true" outlineLevel="0" collapsed="false">
      <c r="A82" s="9" t="s">
        <v>234</v>
      </c>
      <c r="B82" s="9" t="s">
        <v>111</v>
      </c>
      <c r="C82" s="9" t="n">
        <v>1</v>
      </c>
      <c r="D82" s="9" t="n">
        <v>0</v>
      </c>
      <c r="E82" s="9" t="s">
        <v>35</v>
      </c>
      <c r="F82" s="9"/>
      <c r="G82" s="9" t="s">
        <v>35</v>
      </c>
      <c r="H82" s="9"/>
      <c r="I82" s="9" t="s">
        <v>35</v>
      </c>
      <c r="J82" s="9"/>
      <c r="K82" s="9" t="s">
        <v>35</v>
      </c>
      <c r="L82" s="9"/>
      <c r="M82" s="9"/>
      <c r="N82" s="9"/>
      <c r="O82" s="9" t="s">
        <v>49</v>
      </c>
      <c r="P82" s="9" t="s">
        <v>154</v>
      </c>
      <c r="Q82" s="9" t="n">
        <v>1</v>
      </c>
      <c r="R82" s="9" t="n">
        <v>1</v>
      </c>
    </row>
    <row r="83" customFormat="false" ht="15" hidden="false" customHeight="true" outlineLevel="0" collapsed="false">
      <c r="A83" s="9" t="s">
        <v>235</v>
      </c>
      <c r="B83" s="9" t="s">
        <v>112</v>
      </c>
      <c r="C83" s="9" t="n">
        <v>1</v>
      </c>
      <c r="D83" s="9" t="n">
        <v>0</v>
      </c>
      <c r="E83" s="9" t="s">
        <v>35</v>
      </c>
      <c r="F83" s="9"/>
      <c r="G83" s="9" t="s">
        <v>35</v>
      </c>
      <c r="H83" s="9"/>
      <c r="I83" s="9" t="s">
        <v>35</v>
      </c>
      <c r="J83" s="9"/>
      <c r="K83" s="9" t="s">
        <v>35</v>
      </c>
      <c r="L83" s="9"/>
      <c r="M83" s="9"/>
      <c r="N83" s="9"/>
      <c r="O83" s="9" t="s">
        <v>49</v>
      </c>
      <c r="P83" s="9" t="s">
        <v>154</v>
      </c>
      <c r="Q83" s="9" t="n">
        <v>1</v>
      </c>
      <c r="R83" s="9" t="n">
        <v>1</v>
      </c>
    </row>
    <row r="84" customFormat="false" ht="15" hidden="false" customHeight="true" outlineLevel="0" collapsed="false">
      <c r="A84" s="9" t="s">
        <v>236</v>
      </c>
      <c r="B84" s="9" t="s">
        <v>112</v>
      </c>
      <c r="C84" s="9" t="n">
        <v>1</v>
      </c>
      <c r="D84" s="9" t="n">
        <v>0</v>
      </c>
      <c r="E84" s="9" t="s">
        <v>35</v>
      </c>
      <c r="F84" s="9"/>
      <c r="G84" s="9" t="s">
        <v>35</v>
      </c>
      <c r="H84" s="9"/>
      <c r="I84" s="9" t="s">
        <v>35</v>
      </c>
      <c r="J84" s="9"/>
      <c r="K84" s="9" t="s">
        <v>35</v>
      </c>
      <c r="L84" s="9"/>
      <c r="M84" s="9"/>
      <c r="N84" s="9"/>
      <c r="O84" s="9" t="s">
        <v>49</v>
      </c>
      <c r="P84" s="9" t="s">
        <v>154</v>
      </c>
      <c r="Q84" s="9" t="n">
        <v>1</v>
      </c>
      <c r="R84" s="9" t="n">
        <v>1</v>
      </c>
    </row>
    <row r="85" customFormat="false" ht="15" hidden="false" customHeight="true" outlineLevel="0" collapsed="false">
      <c r="A85" s="9" t="s">
        <v>237</v>
      </c>
      <c r="B85" s="9" t="s">
        <v>112</v>
      </c>
      <c r="C85" s="9" t="n">
        <v>1</v>
      </c>
      <c r="D85" s="9" t="n">
        <v>0</v>
      </c>
      <c r="E85" s="9" t="s">
        <v>35</v>
      </c>
      <c r="F85" s="9"/>
      <c r="G85" s="9" t="s">
        <v>35</v>
      </c>
      <c r="H85" s="9"/>
      <c r="I85" s="9" t="s">
        <v>35</v>
      </c>
      <c r="J85" s="9"/>
      <c r="K85" s="9" t="s">
        <v>35</v>
      </c>
      <c r="L85" s="9"/>
      <c r="M85" s="9"/>
      <c r="N85" s="9"/>
      <c r="O85" s="9" t="s">
        <v>49</v>
      </c>
      <c r="P85" s="9" t="s">
        <v>154</v>
      </c>
      <c r="Q85" s="9" t="n">
        <v>1</v>
      </c>
      <c r="R85" s="9" t="n">
        <v>1</v>
      </c>
    </row>
    <row r="86" customFormat="false" ht="15" hidden="false" customHeight="true" outlineLevel="0" collapsed="false">
      <c r="A86" s="9" t="s">
        <v>238</v>
      </c>
      <c r="B86" s="9" t="s">
        <v>113</v>
      </c>
      <c r="C86" s="9" t="n">
        <v>1</v>
      </c>
      <c r="D86" s="9" t="n">
        <v>0</v>
      </c>
      <c r="E86" s="9" t="s">
        <v>35</v>
      </c>
      <c r="F86" s="9"/>
      <c r="G86" s="9" t="s">
        <v>35</v>
      </c>
      <c r="H86" s="9"/>
      <c r="I86" s="9" t="s">
        <v>35</v>
      </c>
      <c r="J86" s="9"/>
      <c r="K86" s="9" t="s">
        <v>35</v>
      </c>
      <c r="L86" s="9"/>
      <c r="M86" s="9"/>
      <c r="N86" s="9"/>
      <c r="O86" s="9" t="s">
        <v>49</v>
      </c>
      <c r="P86" s="9" t="s">
        <v>154</v>
      </c>
      <c r="Q86" s="9" t="n">
        <v>1</v>
      </c>
      <c r="R86" s="9" t="n">
        <v>1</v>
      </c>
    </row>
    <row r="87" customFormat="false" ht="15" hidden="false" customHeight="true" outlineLevel="0" collapsed="false">
      <c r="A87" s="9" t="s">
        <v>239</v>
      </c>
      <c r="B87" s="9" t="s">
        <v>113</v>
      </c>
      <c r="C87" s="9" t="n">
        <v>1</v>
      </c>
      <c r="D87" s="9" t="n">
        <v>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 t="s">
        <v>49</v>
      </c>
      <c r="P87" s="9" t="s">
        <v>154</v>
      </c>
      <c r="Q87" s="9" t="n">
        <v>1</v>
      </c>
      <c r="R87" s="9" t="n">
        <v>0</v>
      </c>
    </row>
    <row r="88" customFormat="false" ht="15" hidden="false" customHeight="true" outlineLevel="0" collapsed="false">
      <c r="A88" s="9" t="s">
        <v>240</v>
      </c>
      <c r="B88" s="9" t="s">
        <v>113</v>
      </c>
      <c r="C88" s="9" t="n">
        <v>1</v>
      </c>
      <c r="D88" s="9" t="n">
        <v>0</v>
      </c>
      <c r="E88" s="9" t="s">
        <v>35</v>
      </c>
      <c r="F88" s="9"/>
      <c r="G88" s="9" t="s">
        <v>35</v>
      </c>
      <c r="H88" s="9"/>
      <c r="I88" s="9" t="s">
        <v>35</v>
      </c>
      <c r="J88" s="9"/>
      <c r="K88" s="9" t="s">
        <v>35</v>
      </c>
      <c r="L88" s="9"/>
      <c r="M88" s="9"/>
      <c r="N88" s="9"/>
      <c r="O88" s="9" t="s">
        <v>49</v>
      </c>
      <c r="P88" s="9" t="s">
        <v>154</v>
      </c>
      <c r="Q88" s="9" t="n">
        <v>1</v>
      </c>
      <c r="R8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2026-07-29T08:59:35Z</dcterms:created>
  <dc:creator>openpyxl</dc:creator>
  <dc:description/>
  <dc:language>en-US</dc:language>
  <cp:lastModifiedBy/>
  <dcterms:modified xsi:type="dcterms:W3CDTF">2026-07-31T06:26:54Z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