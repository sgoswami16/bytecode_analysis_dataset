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Why_These_Results" sheetId="9" state="visible" r:id="rId11"/>
    <sheet name="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<sst xmlns="http://schemas.openxmlformats.org/spreadsheetml/2006/main" count="985" uniqueCount="403">
  <si>
    <t xml:space="preserve">Axelar_Obfuscated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</si>
  <si>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</si>
  <si>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</si>
  <si>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</si>
  <si>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</si>
  <si>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</si>
  <si>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</si>
  <si>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</si>
  <si>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</si>
  <si>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</si>
  <si>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</si>
  <si>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</si>
  <si>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</si>
  <si>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</si>
  <si>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</si>
  <si>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</si>
  <si>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</si>
  <si>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</si>
  <si>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</si>
  <si>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</si>
  <si>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</si>
  <si>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</si>
  <si>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</si>
  <si>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</si>
  <si>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</si>
  <si>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</si>
  <si>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</si>
  <si>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</si>
  <si>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</si>
  <si>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</si>
  <si>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Axelar_Obfuscated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</si>
  <si>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</si>
  <si>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</si>
  <si>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</si>
  <si>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</si>
  <si>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Not covered (0 detections)</t>
  </si>
  <si>
    <t xml:space="preserve">Zero detections this run</t>
  </si>
  <si>
    <t xml:space="preserve">Integer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</si>
  <si>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</si>
  <si>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</si>
  <si>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</si>
  <si>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</si>
  <si>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</si>
  <si>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</si>
  <si>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Mythril</t>
  </si>
  <si>
    <t xml:space="preserve">Bytecode-level detection</t>
  </si>
  <si>
    <t xml:space="preserve">Selfdestruct</t>
  </si>
  <si>
    <t xml:space="preserve">Locked Ether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</si>
  <si>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</si>
  <si>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</si>
  <si>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</si>
  <si>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</si>
  <si>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Axelar_Obfuscated — Detection Count Analysis</t>
  </si>
  <si>
    <t xml:space="preserve">Flags per contract = count of (DoS)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</si>
  <si>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</si>
  <si>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</si>
  <si>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</si>
  <si>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</si>
  <si>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</si>
  <si>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</si>
  <si>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</si>
  <si>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Axelar_Obfuscated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</si>
  <si>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</si>
  <si>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</si>
  <si>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</si>
  <si>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</si>
  <si>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Bytecode symbolic execution</t>
  </si>
  <si>
    <t xml:space="preserve">Others (n/a)</t>
  </si>
  <si>
    <t xml:space="preserve">Reentrancy, Integer, Access Control, Delegatecall, Unchecked Call, Timestamp, TOD, Selfdestruct, Locked Ether, Ether Leak</t>
  </si>
  <si>
    <t xml:space="preserve">Zero detections in this run</t>
  </si>
  <si>
    <t xml:space="preserve">Axelar_Obfuscated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</si>
  <si>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</si>
  <si>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</si>
  <si>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</si>
  <si>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</si>
  <si>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</si>
  <si>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</si>
  <si>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</si>
  <si>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</si>
  <si>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</si>
  <si>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</si>
  <si>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</si>
  <si>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</si>
  <si>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</si>
  <si>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</si>
  <si>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</si>
  <si>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arbitrum</t>
  </si>
  <si>
    <t xml:space="preserve">arbitrum-sepolia</t>
  </si>
  <si>
    <t xml:space="preserve">avalanche</t>
  </si>
  <si>
    <t xml:space="preserve">base</t>
  </si>
  <si>
    <t xml:space="preserve">base-sepolia</t>
  </si>
  <si>
    <t xml:space="preserve">berachain</t>
  </si>
  <si>
    <t xml:space="preserve">binance</t>
  </si>
  <si>
    <t xml:space="preserve">blast</t>
  </si>
  <si>
    <t xml:space="preserve">blast-sepolia</t>
  </si>
  <si>
    <t xml:space="preserve">celo</t>
  </si>
  <si>
    <t xml:space="preserve">celo-sepolia</t>
  </si>
  <si>
    <t xml:space="preserve">centrifuge</t>
  </si>
  <si>
    <t xml:space="preserve">ethereum</t>
  </si>
  <si>
    <t xml:space="preserve">ethereum-sepolia</t>
  </si>
  <si>
    <t xml:space="preserve">fraxtal</t>
  </si>
  <si>
    <t xml:space="preserve">immutable</t>
  </si>
  <si>
    <t xml:space="preserve">linea</t>
  </si>
  <si>
    <t xml:space="preserve">linea-sepolia</t>
  </si>
  <si>
    <t xml:space="preserve">mantle</t>
  </si>
  <si>
    <t xml:space="preserve">moonbeam</t>
  </si>
  <si>
    <t xml:space="preserve">optimism</t>
  </si>
  <si>
    <t xml:space="preserve">optimism-sepolia</t>
  </si>
  <si>
    <t xml:space="preserve">polygon</t>
  </si>
  <si>
    <t xml:space="preserve">polygon-sepolia</t>
  </si>
  <si>
    <t xml:space="preserve">test-avalanche</t>
  </si>
  <si>
    <t xml:space="preserve">test-sepolia</t>
  </si>
  <si>
    <t xml:space="preserve">Axelar_Obfuscated — Tool Agreement (Jaccard Index)</t>
  </si>
  <si>
    <t xml:space="preserve">Axelar_Obfuscated — Key Findings</t>
  </si>
  <si>
    <t xml:space="preserve">Axelar Obfuscated — Why These Results: Forensic Explanation of the Detection Pattern</t>
  </si>
  <si>
    <t xml:space="preserve">Findings below combine (a) direct inspection of the raw BOSC-obfuscated bytecode where available, and (b) matched-pair comparison against the ORIGINAL (unobfuscated) run on the same addresses.</t>
  </si>
  <si>
    <t xml:space="preserve">1. WHY THE TOOL SET FIRING HERE IS Mythril</t>
  </si>
  <si>
    <t xml:space="preserve">Axelar's obfuscated run shows detections from Mythril only - MAIAN, Securify produced ZERO hits here, unlike the other protocols in this dataset. This is the single largest driver of Axelar's 7.2% overall vulnerable rate, independent of whether obfuscation actually changed the underlying code's exploitability.</t>
  </si>
  <si>
    <t xml:space="preserve">Axelar-obfuscated is the inverse case: ONLY Mythril fires (7.2% of contracts), and MAIAN - which flagged essentially 100% of Axelar's ORIGINAL bytecode - produces zero hits after obfuscation. This is the most dramatic tool-behavior swing in the entire 5-protocol dataset and is explored further in section 2 below.</t>
  </si>
  <si>
    <t xml:space="preserve">2. WHAT CHANGED VERSUS THE ORIGINAL (UNOBFUSCATED) BYTECODE, SAME CONTRACTS</t>
  </si>
  <si>
    <t xml:space="preserve">On the 151 addresses successfully analyzed in BOTH the original and obfuscated runs: original vulnerable rate 100.0% -&gt; obfuscated vulnerable rate 2.0%. 148 contracts that were flagged originally evaded ALL detection after obfuscation (98.0% evasion rate among originally-flagged contracts); 0 contracts that were clean originally were newly flagged after obfuscation.</t>
  </si>
  <si>
    <t xml:space="preserve">Axelar shows the most extreme evasion in the dataset: 148 of 151 originally-flagged matched contracts (98.0%) evaded detection entirely. Combined with section 1 (MAIAN going silent after obfuscation), this strongly suggests the obfuscation pipeline changed something MAIAN's static heuristic depends on for Axelar specifically - worth checking whether Axelar's obfuscation pass altered payable-function selectors or fallback/receive structure in a way the other 4 protocols' obfuscation did not.</t>
  </si>
  <si>
    <t xml:space="preserve">3. BYTECODE-LEVEL OBSERVATIONS</t>
  </si>
  <si>
    <t xml:space="preserve">Bytecode text is available for 265 of 265 obfuscated contracts, ranging 5-1579 hex characters (median 135). Note: BOSC's obfuscated bytecode export in this dataset is not formatted identically to the raw eth_getCode output used for the original bytecode analysis (no 0x prefix, and apparent leading-zero/byte normalization), so direct length-for-length comparison against the original bytecode reports should be treated as illustrative rather than exact.</t>
  </si>
  <si>
    <t xml:space="preserve">Average CALLVALUE (opcode 0x34) occurrences per contract: 0.68.</t>
  </si>
  <si>
    <t xml:space="preserve">SUMMARY</t>
  </si>
  <si>
    <t xml:space="preserve">Axelar obfuscated is the dataset's clearest case of obfuscation defeating detection: MAIAN goes from ~100% to 0%, and 98.0% of originally-flagged contracts evade all detection. This is either a genuine obfuscation-robustness finding worth highlighting, or a tool-configuration artifact specific to this SmartBugs pass - the two are hard to distinguish from this data alone and it is the single most important result to verify manually before using it as a headline number.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</si>
  <si>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</si>
  <si>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</si>
  <si>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</si>
  <si>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</si>
  <si>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</si>
  <si>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</si>
  <si>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</si>
  <si>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</si>
  <si>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Mythril_Flag</t>
  </si>
  <si>
    <t xml:space="preserve">arbitrum-sepolia_0x6513Aedb4D1593BA12e50644401D976aebDc90d8</t>
  </si>
  <si>
    <t xml:space="preserve">No</t>
  </si>
  <si>
    <t xml:space="preserve">arbitrum-sepolia_0x7Acbae6CBa67d78AAf69e47000884aE00F9B2525</t>
  </si>
  <si>
    <t xml:space="preserve">arbitrum-sepolia_0x7F83F5cA2AE4206AbFf8a3C3668e88ce5F11C0B5</t>
  </si>
  <si>
    <t xml:space="preserve">arbitrum-sepolia_0x83a93500d23Fbc3e82B410aD07A6a9F7A0670D66</t>
  </si>
  <si>
    <t xml:space="preserve">arbitrum-sepolia_0x98B2920D53612483F91F12Ed7754E51b4A77919e</t>
  </si>
  <si>
    <t xml:space="preserve">arbitrum-sepolia_0xB5FB4BE02232B1bBA4dC8f81dc24C26980dE9e3C</t>
  </si>
  <si>
    <t xml:space="preserve">arbitrum-sepolia_0xCC940AE49C78F20E3F13F3cF37e996b98Ac3EC68</t>
  </si>
  <si>
    <t xml:space="preserve">arbitrum-sepolia_0xbE406F0189A0B4cf3A05C286473D23791Dd44Cc6</t>
  </si>
  <si>
    <t xml:space="preserve">arbitrum-sepolia_0xe1cE95479C84e9809269227C7F8524aE051Ae77a</t>
  </si>
  <si>
    <t xml:space="preserve">Yes</t>
  </si>
  <si>
    <t xml:space="preserve">arbitrum_0x1f8A4d195B647647c7dD45650CBd553FD33cCAA6</t>
  </si>
  <si>
    <t xml:space="preserve">arbitrum_0x2d5d7d31F671F86C782533cc367F14109a082712</t>
  </si>
  <si>
    <t xml:space="preserve">arbitrum_0x6513Aedb4D1593BA12e50644401D976aebDc90d8</t>
  </si>
  <si>
    <t xml:space="preserve">arbitrum_0x7Acbae6CBa67d78AAf69e47000884aE00F9B2525</t>
  </si>
  <si>
    <t xml:space="preserve">arbitrum_0x7DdB2d76b80B0AA19bDEa48EB1301182F4CeefbC</t>
  </si>
  <si>
    <t xml:space="preserve">arbitrum_0x83a93500d23Fbc3e82B410aD07A6a9F7A0670D66</t>
  </si>
  <si>
    <t xml:space="preserve">arbitrum_0x98B2920D53612483F91F12Ed7754E51b4A77919e</t>
  </si>
  <si>
    <t xml:space="preserve">arbitrum_0xB5FB4BE02232B1bBA4dC8f81dc24C26980dE9e3C</t>
  </si>
  <si>
    <t xml:space="preserve">arbitrum_0xCC940AE49C78F20E3F13F3cF37e996b98Ac3EC68</t>
  </si>
  <si>
    <t xml:space="preserve">arbitrum_0xc1DCb196BA862B337Aa23eDA1Cb9503C0801b955</t>
  </si>
  <si>
    <t xml:space="preserve">arbitrum_0xe432150cce91c13a887f7D836923d5597adD8E31</t>
  </si>
  <si>
    <t xml:space="preserve">avalanche_0x1f8A4d195B647647c7dD45650CBd553FD33cCAA6</t>
  </si>
  <si>
    <t xml:space="preserve">avalanche_0x2d5d7d31F671F86C782533cc367F14109a082712</t>
  </si>
  <si>
    <t xml:space="preserve">avalanche_0x5029C0EFf6C34351a0CEc334542cDb22c7928f78</t>
  </si>
  <si>
    <t xml:space="preserve">avalanche_0x6513Aedb4D1593BA12e50644401D976aebDc90d8</t>
  </si>
  <si>
    <t xml:space="preserve">avalanche_0x7Acbae6CBa67d78AAf69e47000884aE00F9B2525</t>
  </si>
  <si>
    <t xml:space="preserve">avalanche_0x7DdB2d76b80B0AA19bDEa48EB1301182F4CeefbC</t>
  </si>
  <si>
    <t xml:space="preserve">avalanche_0x7F83F5cA2AE4206AbFf8a3C3668e88ce5F11C0B5</t>
  </si>
  <si>
    <t xml:space="preserve">avalanche_0x83a93500d23Fbc3e82B410aD07A6a9F7A0670D66</t>
  </si>
  <si>
    <t xml:space="preserve">avalanche_0x98B2920D53612483F91F12Ed7754E51b4A77919e</t>
  </si>
  <si>
    <t xml:space="preserve">avalanche_0xB5FB4BE02232B1bBA4dC8f81dc24C26980dE9e3C</t>
  </si>
  <si>
    <t xml:space="preserve">avalanche_0xC249632c2D40b9001FE907806902f63038B737Ab</t>
  </si>
  <si>
    <t xml:space="preserve">avalanche_0xCC940AE49C78F20E3F13F3cF37e996b98Ac3EC68</t>
  </si>
  <si>
    <t xml:space="preserve">avalanche_0xbE406F0189A0B4cf3A05C286473D23791Dd44Cc6</t>
  </si>
  <si>
    <t xml:space="preserve">avalanche_0xc1DCb196BA862B337Aa23eDA1Cb9503C0801b955</t>
  </si>
  <si>
    <t xml:space="preserve">base-sepolia_0x6513Aedb4D1593BA12e50644401D976aebDc90d8</t>
  </si>
  <si>
    <t xml:space="preserve">base-sepolia_0x7Acbae6CBa67d78AAf69e47000884aE00F9B2525</t>
  </si>
  <si>
    <t xml:space="preserve">base-sepolia_0x7F83F5cA2AE4206AbFf8a3C3668e88ce5F11C0B5</t>
  </si>
  <si>
    <t xml:space="preserve">base-sepolia_0x83a93500d23Fbc3e82B410aD07A6a9F7A0670D66</t>
  </si>
  <si>
    <t xml:space="preserve">base-sepolia_0x98B2920D53612483F91F12Ed7754E51b4A77919e</t>
  </si>
  <si>
    <t xml:space="preserve">base-sepolia_0xB5FB4BE02232B1bBA4dC8f81dc24C26980dE9e3C</t>
  </si>
  <si>
    <t xml:space="preserve">base-sepolia_0xCC940AE49C78F20E3F13F3cF37e996b98Ac3EC68</t>
  </si>
  <si>
    <t xml:space="preserve">base-sepolia_0xbE406F0189A0B4cf3A05C286473D23791Dd44Cc6</t>
  </si>
  <si>
    <t xml:space="preserve">base-sepolia_0xe432150cce91c13a887f7D836923d5597adD8E31</t>
  </si>
  <si>
    <t xml:space="preserve">base_0x1f8A4d195B647647c7dD45650CBd553FD33cCAA6</t>
  </si>
  <si>
    <t xml:space="preserve">base_0x2d5d7d31F671F86C782533cc367F14109a082712</t>
  </si>
  <si>
    <t xml:space="preserve">base_0x6513Aedb4D1593BA12e50644401D976aebDc90d8</t>
  </si>
  <si>
    <t xml:space="preserve">base_0x7Acbae6CBa67d78AAf69e47000884aE00F9B2525</t>
  </si>
  <si>
    <t xml:space="preserve">base_0x7DdB2d76b80B0AA19bDEa48EB1301182F4CeefbC</t>
  </si>
  <si>
    <t xml:space="preserve">base_0x83a93500d23Fbc3e82B410aD07A6a9F7A0670D66</t>
  </si>
  <si>
    <t xml:space="preserve">base_0x98B2920D53612483F91F12Ed7754E51b4A77919e</t>
  </si>
  <si>
    <t xml:space="preserve">base_0xB5FB4BE02232B1bBA4dC8f81dc24C26980dE9e3C</t>
  </si>
  <si>
    <t xml:space="preserve">base_0xCC940AE49C78F20E3F13F3cF37e996b98Ac3EC68</t>
  </si>
  <si>
    <t xml:space="preserve">base_0xbE406F0189A0B4cf3A05C286473D23791Dd44Cc6</t>
  </si>
  <si>
    <t xml:space="preserve">base_0xc1DCb196BA862B337Aa23eDA1Cb9503C0801b955</t>
  </si>
  <si>
    <t xml:space="preserve">base_0xe432150cce91c13a887f7D836923d5597adD8E31</t>
  </si>
  <si>
    <t xml:space="preserve">berachain_0x2d5d7d31F671F86C782533cc367F14109a082712</t>
  </si>
  <si>
    <t xml:space="preserve">berachain_0x6513Aedb4D1593BA12e50644401D976aebDc90d8</t>
  </si>
  <si>
    <t xml:space="preserve">berachain_0x7DdB2d76b80B0AA19bDEa48EB1301182F4CeefbC</t>
  </si>
  <si>
    <t xml:space="preserve">berachain_0x83a93500d23Fbc3e82B410aD07A6a9F7A0670D66</t>
  </si>
  <si>
    <t xml:space="preserve">berachain_0x98B2920D53612483F91F12Ed7754E51b4A77919e</t>
  </si>
  <si>
    <t xml:space="preserve">berachain_0x9E6FF64bc4DE73a5339Cf0586515E213b10453d3</t>
  </si>
  <si>
    <t xml:space="preserve">berachain_0xB5FB4BE02232B1bBA4dC8f81dc24C26980dE9e3C</t>
  </si>
  <si>
    <t xml:space="preserve">berachain_0xe432150cce91c13a887f7D836923d5597adD8E31</t>
  </si>
  <si>
    <t xml:space="preserve">binance_0x1f8A4d195B647647c7dD45650CBd553FD33cCAA6</t>
  </si>
  <si>
    <t xml:space="preserve">binance_0x2d5d7d31F671F86C782533cc367F14109a082712</t>
  </si>
  <si>
    <t xml:space="preserve">binance_0x304acf330bbE08d1e512eefaa92F6a57871fD895</t>
  </si>
  <si>
    <t xml:space="preserve">binance_0x4D147dCb984e6affEEC47e44293DA442580A3Ec0</t>
  </si>
  <si>
    <t xml:space="preserve">binance_0x6513Aedb4D1593BA12e50644401D976aebDc90d8</t>
  </si>
  <si>
    <t xml:space="preserve">binance_0x723AEAD29acee7E9281C32D11eA4ed0070c41B13</t>
  </si>
  <si>
    <t xml:space="preserve">binance_0x7Acbae6CBa67d78AAf69e47000884aE00F9B2525</t>
  </si>
  <si>
    <t xml:space="preserve">binance_0x7DdB2d76b80B0AA19bDEa48EB1301182F4CeefbC</t>
  </si>
  <si>
    <t xml:space="preserve">binance_0x7F83F5cA2AE4206AbFf8a3C3668e88ce5F11C0B5</t>
  </si>
  <si>
    <t xml:space="preserve">binance_0x83a93500d23Fbc3e82B410aD07A6a9F7A0670D66</t>
  </si>
  <si>
    <t xml:space="preserve">binance_0x98B2920D53612483F91F12Ed7754E51b4A77919e</t>
  </si>
  <si>
    <t xml:space="preserve">binance_0xB5FB4BE02232B1bBA4dC8f81dc24C26980dE9e3C</t>
  </si>
  <si>
    <t xml:space="preserve">binance_0xCC940AE49C78F20E3F13F3cF37e996b98Ac3EC68</t>
  </si>
  <si>
    <t xml:space="preserve">binance_0xaa8267908e8d2BEfeB601f88A7Cf3ec148039423</t>
  </si>
  <si>
    <t xml:space="preserve">binance_0xbE406F0189A0B4cf3A05C286473D23791Dd44Cc6</t>
  </si>
  <si>
    <t xml:space="preserve">binance_0xc1DCb196BA862B337Aa23eDA1Cb9503C0801b955</t>
  </si>
  <si>
    <t xml:space="preserve">blast-sepolia_0x6513Aedb4D1593BA12e50644401D976aebDc90d8</t>
  </si>
  <si>
    <t xml:space="preserve">blast-sepolia_0x7F83F5cA2AE4206AbFf8a3C3668e88ce5F11C0B5</t>
  </si>
  <si>
    <t xml:space="preserve">blast-sepolia_0x83a93500d23Fbc3e82B410aD07A6a9F7A0670D66</t>
  </si>
  <si>
    <t xml:space="preserve">blast-sepolia_0x98B2920D53612483F91F12Ed7754E51b4A77919e</t>
  </si>
  <si>
    <t xml:space="preserve">blast-sepolia_0xB5FB4BE02232B1bBA4dC8f81dc24C26980dE9e3C</t>
  </si>
  <si>
    <t xml:space="preserve">blast-sepolia_0xCC940AE49C78F20E3F13F3cF37e996b98Ac3EC68</t>
  </si>
  <si>
    <t xml:space="preserve">blast-sepolia_0xbE406F0189A0B4cf3A05C286473D23791Dd44Cc6</t>
  </si>
  <si>
    <t xml:space="preserve">blast-sepolia_0xe432150cce91c13a887f7D836923d5597adD8E31</t>
  </si>
  <si>
    <t xml:space="preserve">blast-sepolia_0xfDF36A30070ea0241d69052ea85ff44Ad0476a66</t>
  </si>
  <si>
    <t xml:space="preserve">blast_0x2d5d7d31F671F86C782533cc367F14109a082712</t>
  </si>
  <si>
    <t xml:space="preserve">blast_0x6513Aedb4D1593BA12e50644401D976aebDc90d8</t>
  </si>
  <si>
    <t xml:space="preserve">blast_0x7Acbae6CBa67d78AAf69e47000884aE00F9B2525</t>
  </si>
  <si>
    <t xml:space="preserve">blast_0x7DdB2d76b80B0AA19bDEa48EB1301182F4CeefbC</t>
  </si>
  <si>
    <t xml:space="preserve">blast_0x83a93500d23Fbc3e82B410aD07A6a9F7A0670D66</t>
  </si>
  <si>
    <t xml:space="preserve">blast_0x98B2920D53612483F91F12Ed7754E51b4A77919e</t>
  </si>
  <si>
    <t xml:space="preserve">blast_0xB5FB4BE02232B1bBA4dC8f81dc24C26980dE9e3C</t>
  </si>
  <si>
    <t xml:space="preserve">blast_0xCC940AE49C78F20E3F13F3cF37e996b98Ac3EC68</t>
  </si>
  <si>
    <t xml:space="preserve">blast_0xe432150cce91c13a887f7D836923d5597adD8E31</t>
  </si>
  <si>
    <t xml:space="preserve">celo-sepolia_0x6513Aedb4D1593BA12e50644401D976aebDc90d8</t>
  </si>
  <si>
    <t xml:space="preserve">celo-sepolia_0x7F83F5cA2AE4206AbFf8a3C3668e88ce5F11C0B5</t>
  </si>
  <si>
    <t xml:space="preserve">celo-sepolia_0x83a93500d23Fbc3e82B410aD07A6a9F7A0670D66</t>
  </si>
  <si>
    <t xml:space="preserve">celo-sepolia_0x98B2920D53612483F91F12Ed7754E51b4A77919e</t>
  </si>
  <si>
    <t xml:space="preserve">celo-sepolia_0xB5FB4BE02232B1bBA4dC8f81dc24C26980dE9e3C</t>
  </si>
  <si>
    <t xml:space="preserve">celo-sepolia_0xb55A09E9fde39755c39EF9A7911431Ba0c96332A</t>
  </si>
  <si>
    <t xml:space="preserve">celo-sepolia_0xbE406F0189A0B4cf3A05C286473D23791Dd44Cc6</t>
  </si>
  <si>
    <t xml:space="preserve">celo-sepolia_0xe432150cce91c13a887f7D836923d5597adD8E31</t>
  </si>
  <si>
    <t xml:space="preserve">celo_0x1f8A4d195B647647c7dD45650CBd553FD33cCAA6</t>
  </si>
  <si>
    <t xml:space="preserve">celo_0x2d5d7d31F671F86C782533cc367F14109a082712</t>
  </si>
  <si>
    <t xml:space="preserve">celo_0x6513Aedb4D1593BA12e50644401D976aebDc90d8</t>
  </si>
  <si>
    <t xml:space="preserve">celo_0x7Acbae6CBa67d78AAf69e47000884aE00F9B2525</t>
  </si>
  <si>
    <t xml:space="preserve">celo_0x7DdB2d76b80B0AA19bDEa48EB1301182F4CeefbC</t>
  </si>
  <si>
    <t xml:space="preserve">celo_0x83a93500d23Fbc3e82B410aD07A6a9F7A0670D66</t>
  </si>
  <si>
    <t xml:space="preserve">celo_0x98B2920D53612483F91F12Ed7754E51b4A77919e</t>
  </si>
  <si>
    <t xml:space="preserve">celo_0xB5FB4BE02232B1bBA4dC8f81dc24C26980dE9e3C</t>
  </si>
  <si>
    <t xml:space="preserve">celo_0xCC940AE49C78F20E3F13F3cF37e996b98Ac3EC68</t>
  </si>
  <si>
    <t xml:space="preserve">celo_0xc1DCb196BA862B337Aa23eDA1Cb9503C0801b955</t>
  </si>
  <si>
    <t xml:space="preserve">celo_0xe432150cce91c13a887f7D836923d5597adD8E31</t>
  </si>
  <si>
    <t xml:space="preserve">centrifuge_0x2d5d7d31F671F86C782533cc367F14109a082712</t>
  </si>
  <si>
    <t xml:space="preserve">centrifuge_0x6513Aedb4D1593BA12e50644401D976aebDc90d8</t>
  </si>
  <si>
    <t xml:space="preserve">centrifuge_0x7DdB2d76b80B0AA19bDEa48EB1301182F4CeefbC</t>
  </si>
  <si>
    <t xml:space="preserve">centrifuge_0x98B2920D53612483F91F12Ed7754E51b4A77919e</t>
  </si>
  <si>
    <t xml:space="preserve">centrifuge_0xCC940AE49C78F20E3F13F3cF37e996b98Ac3EC68</t>
  </si>
  <si>
    <t xml:space="preserve">centrifuge_0xe432150cce91c13a887f7D836923d5597adD8E31</t>
  </si>
  <si>
    <t xml:space="preserve">centrifuge_0xfDF36A30070ea0241d69052ea85ff44Ad0476a66</t>
  </si>
  <si>
    <t xml:space="preserve">ethereum-sepolia_0x50beAbe4883981624aEa01F737B040d1e3Fe83FB</t>
  </si>
  <si>
    <t xml:space="preserve">ethereum-sepolia_0x6513Aedb4D1593BA12e50644401D976aebDc90d8</t>
  </si>
  <si>
    <t xml:space="preserve">ethereum-sepolia_0x7Acbae6CBa67d78AAf69e47000884aE00F9B2525</t>
  </si>
  <si>
    <t xml:space="preserve">ethereum-sepolia_0x7F83F5cA2AE4206AbFf8a3C3668e88ce5F11C0B5</t>
  </si>
  <si>
    <t xml:space="preserve">ethereum-sepolia_0x83a93500d23Fbc3e82B410aD07A6a9F7A0670D66</t>
  </si>
  <si>
    <t xml:space="preserve">ethereum-sepolia_0x98B2920D53612483F91F12Ed7754E51b4A77919e</t>
  </si>
  <si>
    <t xml:space="preserve">ethereum-sepolia_0xB5FB4BE02232B1bBA4dC8f81dc24C26980dE9e3C</t>
  </si>
  <si>
    <t xml:space="preserve">ethereum-sepolia_0xCC940AE49C78F20E3F13F3cF37e996b98Ac3EC68</t>
  </si>
  <si>
    <t xml:space="preserve">ethereum-sepolia_0xaa8267908e8d2BEfeB601f88A7Cf3ec148039423</t>
  </si>
  <si>
    <t xml:space="preserve">ethereum-sepolia_0xbE406F0189A0B4cf3A05C286473D23791Dd44Cc6</t>
  </si>
  <si>
    <t xml:space="preserve">ethereum-sepolia_0xe432150cce91c13a887f7D836923d5597adD8E31</t>
  </si>
  <si>
    <t xml:space="preserve">ethereum_0x1f8A4d195B647647c7dD45650CBd553FD33cCAA6</t>
  </si>
  <si>
    <t xml:space="preserve">ethereum_0x2d5d7d31F671F86C782533cc367F14109a082712</t>
  </si>
  <si>
    <t xml:space="preserve">ethereum_0x4F4495243837681061C4743b74B3eEdf548D56A5</t>
  </si>
  <si>
    <t xml:space="preserve">ethereum_0x50beAbe4883981624aEa01F737B040d1e3Fe83FB</t>
  </si>
  <si>
    <t xml:space="preserve">ethereum_0x6513Aedb4D1593BA12e50644401D976aebDc90d8</t>
  </si>
  <si>
    <t xml:space="preserve">ethereum_0x723AEAD29acee7E9281C32D11eA4ed0070c41B13</t>
  </si>
  <si>
    <t xml:space="preserve">ethereum_0x7Acbae6CBa67d78AAf69e47000884aE00F9B2525</t>
  </si>
  <si>
    <t xml:space="preserve">ethereum_0x7DdB2d76b80B0AA19bDEa48EB1301182F4CeefbC</t>
  </si>
  <si>
    <t xml:space="preserve">ethereum_0x83a93500d23Fbc3e82B410aD07A6a9F7A0670D66</t>
  </si>
  <si>
    <t xml:space="preserve">ethereum_0x98B2920D53612483F91F12Ed7754E51b4A77919e</t>
  </si>
  <si>
    <t xml:space="preserve">ethereum_0xB5FB4BE02232B1bBA4dC8f81dc24C26980dE9e3C</t>
  </si>
  <si>
    <t xml:space="preserve">ethereum_0xCC940AE49C78F20E3F13F3cF37e996b98Ac3EC68</t>
  </si>
  <si>
    <t xml:space="preserve">ethereum_0xc1DCb196BA862B337Aa23eDA1Cb9503C0801b955</t>
  </si>
  <si>
    <t xml:space="preserve">fraxtal_0x2d5d7d31F671F86C782533cc367F14109a082712</t>
  </si>
  <si>
    <t xml:space="preserve">fraxtal_0x6513Aedb4D1593BA12e50644401D976aebDc90d8</t>
  </si>
  <si>
    <t xml:space="preserve">fraxtal_0x7Acbae6CBa67d78AAf69e47000884aE00F9B2525</t>
  </si>
  <si>
    <t xml:space="preserve">fraxtal_0x7DdB2d76b80B0AA19bDEa48EB1301182F4CeefbC</t>
  </si>
  <si>
    <t xml:space="preserve">fraxtal_0x83a93500d23Fbc3e82B410aD07A6a9F7A0670D66</t>
  </si>
  <si>
    <t xml:space="preserve">fraxtal_0x98B2920D53612483F91F12Ed7754E51b4A77919e</t>
  </si>
  <si>
    <t xml:space="preserve">fraxtal_0xB5FB4BE02232B1bBA4dC8f81dc24C26980dE9e3C</t>
  </si>
  <si>
    <t xml:space="preserve">fraxtal_0xCC940AE49C78F20E3F13F3cF37e996b98Ac3EC68</t>
  </si>
  <si>
    <t xml:space="preserve">fraxtal_0xe432150cce91c13a887f7D836923d5597adD8E31</t>
  </si>
  <si>
    <t xml:space="preserve">immutable_0x24C2b56128fF8E7bFaD578ABefB0fc7Dfa9ba358</t>
  </si>
  <si>
    <t xml:space="preserve">immutable_0x6513Aedb4D1593BA12e50644401D976aebDc90d8</t>
  </si>
  <si>
    <t xml:space="preserve">immutable_0x7Acbae6CBa67d78AAf69e47000884aE00F9B2525</t>
  </si>
  <si>
    <t xml:space="preserve">immutable_0x7F83F5cA2AE4206AbFf8a3C3668e88ce5F11C0B5</t>
  </si>
  <si>
    <t xml:space="preserve">immutable_0x83a93500d23Fbc3e82B410aD07A6a9F7A0670D66</t>
  </si>
  <si>
    <t xml:space="preserve">immutable_0x98B2920D53612483F91F12Ed7754E51b4A77919e</t>
  </si>
  <si>
    <t xml:space="preserve">immutable_0xB5FB4BE02232B1bBA4dC8f81dc24C26980dE9e3C</t>
  </si>
  <si>
    <t xml:space="preserve">immutable_0xCC940AE49C78F20E3F13F3cF37e996b98Ac3EC68</t>
  </si>
  <si>
    <t xml:space="preserve">immutable_0xbE406F0189A0B4cf3A05C286473D23791Dd44Cc6</t>
  </si>
  <si>
    <t xml:space="preserve">immutable_0xdC46f07661B673Fc262f61FC5b05B10A58a3b7fE</t>
  </si>
  <si>
    <t xml:space="preserve">immutable_0xe432150cce91c13a887f7D836923d5597adD8E31</t>
  </si>
  <si>
    <t xml:space="preserve">immutable_0xfEF5c90d84a1C93804496f5e7fbf98ec0C85243C</t>
  </si>
  <si>
    <t xml:space="preserve">linea-sepolia_0x6513Aedb4D1593BA12e50644401D976aebDc90d8</t>
  </si>
  <si>
    <t xml:space="preserve">linea-sepolia_0x7Acbae6CBa67d78AAf69e47000884aE00F9B2525</t>
  </si>
  <si>
    <t xml:space="preserve">linea-sepolia_0x7F83F5cA2AE4206AbFf8a3C3668e88ce5F11C0B5</t>
  </si>
  <si>
    <t xml:space="preserve">linea-sepolia_0x83a93500d23Fbc3e82B410aD07A6a9F7A0670D66</t>
  </si>
  <si>
    <t xml:space="preserve">linea-sepolia_0x98B2920D53612483F91F12Ed7754E51b4A77919e</t>
  </si>
  <si>
    <t xml:space="preserve">linea-sepolia_0xB5FB4BE02232B1bBA4dC8f81dc24C26980dE9e3C</t>
  </si>
  <si>
    <t xml:space="preserve">linea-sepolia_0xCC940AE49C78F20E3F13F3cF37e996b98Ac3EC68</t>
  </si>
  <si>
    <t xml:space="preserve">linea-sepolia_0xbE406F0189A0B4cf3A05C286473D23791Dd44Cc6</t>
  </si>
  <si>
    <t xml:space="preserve">linea-sepolia_0xe432150cce91c13a887f7D836923d5597adD8E31</t>
  </si>
  <si>
    <t xml:space="preserve">linea_0x1f8A4d195B647647c7dD45650CBd553FD33cCAA6</t>
  </si>
  <si>
    <t xml:space="preserve">linea_0x2d5d7d31F671F86C782533cc367F14109a082712</t>
  </si>
  <si>
    <t xml:space="preserve">linea_0x6513Aedb4D1593BA12e50644401D976aebDc90d8</t>
  </si>
  <si>
    <t xml:space="preserve">linea_0x7Acbae6CBa67d78AAf69e47000884aE00F9B2525</t>
  </si>
  <si>
    <t xml:space="preserve">linea_0x7DdB2d76b80B0AA19bDEa48EB1301182F4CeefbC</t>
  </si>
  <si>
    <t xml:space="preserve">linea_0x83a93500d23Fbc3e82B410aD07A6a9F7A0670D66</t>
  </si>
  <si>
    <t xml:space="preserve">linea_0x98B2920D53612483F91F12Ed7754E51b4A77919e</t>
  </si>
  <si>
    <t xml:space="preserve">linea_0xB5FB4BE02232B1bBA4dC8f81dc24C26980dE9e3C</t>
  </si>
  <si>
    <t xml:space="preserve">linea_0xCC940AE49C78F20E3F13F3cF37e996b98Ac3EC68</t>
  </si>
  <si>
    <t xml:space="preserve">linea_0xc1DCb196BA862B337Aa23eDA1Cb9503C0801b955</t>
  </si>
  <si>
    <t xml:space="preserve">linea_0xe432150cce91c13a887f7D836923d5597adD8E31</t>
  </si>
  <si>
    <t xml:space="preserve">mantle_0x1f8A4d195B647647c7dD45650CBd553FD33cCAA6</t>
  </si>
  <si>
    <t xml:space="preserve">mantle_0x2d5d7d31F671F86C782533cc367F14109a082712</t>
  </si>
  <si>
    <t xml:space="preserve">mantle_0x6513Aedb4D1593BA12e50644401D976aebDc90d8</t>
  </si>
  <si>
    <t xml:space="preserve">mantle_0x7Acbae6CBa67d78AAf69e47000884aE00F9B2525</t>
  </si>
  <si>
    <t xml:space="preserve">mantle_0x7DdB2d76b80B0AA19bDEa48EB1301182F4CeefbC</t>
  </si>
  <si>
    <t xml:space="preserve">mantle_0x83a93500d23Fbc3e82B410aD07A6a9F7A0670D66</t>
  </si>
  <si>
    <t xml:space="preserve">mantle_0x98B2920D53612483F91F12Ed7754E51b4A77919e</t>
  </si>
  <si>
    <t xml:space="preserve">mantle_0xB5FB4BE02232B1bBA4dC8f81dc24C26980dE9e3C</t>
  </si>
  <si>
    <t xml:space="preserve">mantle_0xCC940AE49C78F20E3F13F3cF37e996b98Ac3EC68</t>
  </si>
  <si>
    <t xml:space="preserve">mantle_0xc1DCb196BA862B337Aa23eDA1Cb9503C0801b955</t>
  </si>
  <si>
    <t xml:space="preserve">mantle_0xe432150cce91c13a887f7D836923d5597adD8E31</t>
  </si>
  <si>
    <t xml:space="preserve">moonbeam_0x1f8A4d195B647647c7dD45650CBd553FD33cCAA6</t>
  </si>
  <si>
    <t xml:space="preserve">moonbeam_0x2d5d7d31F671F86C782533cc367F14109a082712</t>
  </si>
  <si>
    <t xml:space="preserve">moonbeam_0x4F4495243837681061C4743b74B3eEdf548D56A5</t>
  </si>
  <si>
    <t xml:space="preserve">moonbeam_0x6513Aedb4D1593BA12e50644401D976aebDc90d8</t>
  </si>
  <si>
    <t xml:space="preserve">moonbeam_0x7Acbae6CBa67d78AAf69e47000884aE00F9B2525</t>
  </si>
  <si>
    <t xml:space="preserve">moonbeam_0x7DdB2d76b80B0AA19bDEa48EB1301182F4CeefbC</t>
  </si>
  <si>
    <t xml:space="preserve">moonbeam_0x83a93500d23Fbc3e82B410aD07A6a9F7A0670D66</t>
  </si>
  <si>
    <t xml:space="preserve">moonbeam_0x98B2920D53612483F91F12Ed7754E51b4A77919e</t>
  </si>
  <si>
    <t xml:space="preserve">moonbeam_0xB5FB4BE02232B1bBA4dC8f81dc24C26980dE9e3C</t>
  </si>
  <si>
    <t xml:space="preserve">moonbeam_0xCC940AE49C78F20E3F13F3cF37e996b98Ac3EC68</t>
  </si>
  <si>
    <t xml:space="preserve">moonbeam_0xc1DCb196BA862B337Aa23eDA1Cb9503C0801b955</t>
  </si>
  <si>
    <t xml:space="preserve">optimism-sepolia_0x6513Aedb4D1593BA12e50644401D976aebDc90d8</t>
  </si>
  <si>
    <t xml:space="preserve">optimism-sepolia_0x7Acbae6CBa67d78AAf69e47000884aE00F9B2525</t>
  </si>
  <si>
    <t xml:space="preserve">optimism-sepolia_0x7F83F5cA2AE4206AbFf8a3C3668e88ce5F11C0B5</t>
  </si>
  <si>
    <t xml:space="preserve">optimism-sepolia_0x83a93500d23Fbc3e82B410aD07A6a9F7A0670D66</t>
  </si>
  <si>
    <t xml:space="preserve">optimism-sepolia_0x98B2920D53612483F91F12Ed7754E51b4A77919e</t>
  </si>
  <si>
    <t xml:space="preserve">optimism-sepolia_0xB5FB4BE02232B1bBA4dC8f81dc24C26980dE9e3C</t>
  </si>
  <si>
    <t xml:space="preserve">optimism-sepolia_0xCC940AE49C78F20E3F13F3cF37e996b98Ac3EC68</t>
  </si>
  <si>
    <t xml:space="preserve">optimism-sepolia_0xbE406F0189A0B4cf3A05C286473D23791Dd44Cc6</t>
  </si>
  <si>
    <t xml:space="preserve">optimism-sepolia_0xe432150cce91c13a887f7D836923d5597adD8E31</t>
  </si>
  <si>
    <t xml:space="preserve">optimism_0x1f8A4d195B647647c7dD45650CBd553FD33cCAA6</t>
  </si>
  <si>
    <t xml:space="preserve">optimism_0x2d5d7d31F671F86C782533cc367F14109a082712</t>
  </si>
  <si>
    <t xml:space="preserve">optimism_0x6513Aedb4D1593BA12e50644401D976aebDc90d8</t>
  </si>
  <si>
    <t xml:space="preserve">optimism_0x7Acbae6CBa67d78AAf69e47000884aE00F9B2525</t>
  </si>
  <si>
    <t xml:space="preserve">optimism_0x7DdB2d76b80B0AA19bDEa48EB1301182F4CeefbC</t>
  </si>
  <si>
    <t xml:space="preserve">optimism_0x83a93500d23Fbc3e82B410aD07A6a9F7A0670D66</t>
  </si>
  <si>
    <t xml:space="preserve">optimism_0x98B2920D53612483F91F12Ed7754E51b4A77919e</t>
  </si>
  <si>
    <t xml:space="preserve">optimism_0xB5FB4BE02232B1bBA4dC8f81dc24C26980dE9e3C</t>
  </si>
  <si>
    <t xml:space="preserve">optimism_0xCC940AE49C78F20E3F13F3cF37e996b98Ac3EC68</t>
  </si>
  <si>
    <t xml:space="preserve">optimism_0xbE406F0189A0B4cf3A05C286473D23791Dd44Cc6</t>
  </si>
  <si>
    <t xml:space="preserve">optimism_0xc1DCb196BA862B337Aa23eDA1Cb9503C0801b955</t>
  </si>
  <si>
    <t xml:space="preserve">optimism_0xe432150cce91c13a887f7D836923d5597adD8E31</t>
  </si>
  <si>
    <t xml:space="preserve">polygon-sepolia_0x6513Aedb4D1593BA12e50644401D976aebDc90d8</t>
  </si>
  <si>
    <t xml:space="preserve">polygon-sepolia_0x7Acbae6CBa67d78AAf69e47000884aE00F9B2525</t>
  </si>
  <si>
    <t xml:space="preserve">polygon-sepolia_0x7F83F5cA2AE4206AbFf8a3C3668e88ce5F11C0B5</t>
  </si>
  <si>
    <t xml:space="preserve">polygon-sepolia_0x83a93500d23Fbc3e82B410aD07A6a9F7A0670D66</t>
  </si>
  <si>
    <t xml:space="preserve">polygon-sepolia_0x98B2920D53612483F91F12Ed7754E51b4A77919e</t>
  </si>
  <si>
    <t xml:space="preserve">polygon-sepolia_0xB5FB4BE02232B1bBA4dC8f81dc24C26980dE9e3C</t>
  </si>
  <si>
    <t xml:space="preserve">polygon-sepolia_0xCC940AE49C78F20E3F13F3cF37e996b98Ac3EC68</t>
  </si>
  <si>
    <t xml:space="preserve">polygon-sepolia_0xbE406F0189A0B4cf3A05C286473D23791Dd44Cc6</t>
  </si>
  <si>
    <t xml:space="preserve">polygon-sepolia_0xe432150cce91c13a887f7D836923d5597adD8E31</t>
  </si>
  <si>
    <t xml:space="preserve">polygon_0x1f8A4d195B647647c7dD45650CBd553FD33cCAA6</t>
  </si>
  <si>
    <t xml:space="preserve">polygon_0x2d5d7d31F671F86C782533cc367F14109a082712</t>
  </si>
  <si>
    <t xml:space="preserve">polygon_0x6513Aedb4D1593BA12e50644401D976aebDc90d8</t>
  </si>
  <si>
    <t xml:space="preserve">polygon_0x6f015F16De9fC8791b234eF68D486d2bF203FBA8</t>
  </si>
  <si>
    <t xml:space="preserve">polygon_0x7Acbae6CBa67d78AAf69e47000884aE00F9B2525</t>
  </si>
  <si>
    <t xml:space="preserve">polygon_0x7DdB2d76b80B0AA19bDEa48EB1301182F4CeefbC</t>
  </si>
  <si>
    <t xml:space="preserve">polygon_0x83a93500d23Fbc3e82B410aD07A6a9F7A0670D66</t>
  </si>
  <si>
    <t xml:space="preserve">polygon_0x98B2920D53612483F91F12Ed7754E51b4A77919e</t>
  </si>
  <si>
    <t xml:space="preserve">polygon_0xB5FB4BE02232B1bBA4dC8f81dc24C26980dE9e3C</t>
  </si>
  <si>
    <t xml:space="preserve">polygon_0xCC940AE49C78F20E3F13F3cF37e996b98Ac3EC68</t>
  </si>
  <si>
    <t xml:space="preserve">polygon_0xc1DCb196BA862B337Aa23eDA1Cb9503C0801b955</t>
  </si>
  <si>
    <t xml:space="preserve">test-avalanche_0x14213B104d2D897cFeE3767F24277771C8e6B702</t>
  </si>
  <si>
    <t xml:space="preserve">test-avalanche_0x6513Aedb4D1593BA12e50644401D976aebDc90d8</t>
  </si>
  <si>
    <t xml:space="preserve">test-avalanche_0x6D37Ca166d05132e632C78882391031a3B5b6cE8</t>
  </si>
  <si>
    <t xml:space="preserve">test-avalanche_0x98B2920D53612483F91F12Ed7754E51b4A77919e</t>
  </si>
  <si>
    <t xml:space="preserve">test-avalanche_0xCC940AE49C78F20E3F13F3cF37e996b98Ac3EC68</t>
  </si>
  <si>
    <t xml:space="preserve">test-avalanche_0xb55A09E9fde39755c39EF9A7911431Ba0c96332A</t>
  </si>
  <si>
    <t xml:space="preserve">test-avalanche_0xbcfcF78b4a695c9f9569f7EfFD9B759A7a82F25E</t>
  </si>
  <si>
    <t xml:space="preserve">test-sepolia_0x14213B104d2D897cFeE3767F24277771C8e6B702</t>
  </si>
  <si>
    <t xml:space="preserve">test-sepolia_0x6513Aedb4D1593BA12e50644401D976aebDc90d8</t>
  </si>
  <si>
    <t xml:space="preserve">test-sepolia_0x6D37Ca166d05132e632C78882391031a3B5b6cE8</t>
  </si>
  <si>
    <t xml:space="preserve">test-sepolia_0x98B2920D53612483F91F12Ed7754E51b4A77919e</t>
  </si>
  <si>
    <t xml:space="preserve">test-sepolia_0xCC940AE49C78F20E3F13F3cF37e996b98Ac3EC68</t>
  </si>
  <si>
    <t xml:space="preserve">test-sepolia_0xb55A09E9fde39755c39EF9A7911431Ba0c96332A</t>
  </si>
  <si>
    <t xml:space="preserve">test-sepolia_0xbcfcF78b4a695c9f9569f7EfFD9B759A7a82F25E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</si>
</sst>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tr">
        <f aca="false">"Addresses queried: "&amp;COUNTA(Data!A2:A266)&amp;"  |  Chains covered: 26"</f>
        <v>Addresses queried: 265  |  Chains covered: 26</v>
      </c>
    </row>
    <row r="5" customFormat="false" ht="15" hidden="false" customHeight="true" outlineLevel="0" collapsed="false">
      <c r="A5" s="4" t="str">
        <f aca="false">"Contracts with resolved bytecode: "&amp;SUM(Data!C2:C266)&amp;"  |  No bytecode (EOA/unverified): "&amp;(COUNTA(Data!A2:A266)-SUM(Data!C2:C266))</f>
        <v>Contracts with resolved bytecode: 265  |  No bytecode (EOA/unverified): 0</v>
      </c>
    </row>
    <row r="6" customFormat="false" ht="15" hidden="false" customHeight="true" outlineLevel="0" collapsed="false">
      <c r="A6" s="4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7.2% of resolved contracts (19/265)</v>
      </c>
    </row>
    <row r="7" customFormat="false" ht="15" hidden="false" customHeight="true" outlineLevel="0" collapsed="false">
      <c r="A7" s="4" t="str">
        <f aca="false">"Mythril flag rate: "&amp;TEXT(Tool_Wise_Analysis!E4,"0.0%")</f>
        <v>Mythril flag rate: 7.2%</v>
      </c>
    </row>
    <row r="9" customFormat="false" ht="15.75" hidden="false" customHeight="true" outlineLevel="0" collapsed="false">
      <c r="A9" s="3" t="s">
        <v>2</v>
      </c>
    </row>
    <row r="10" customFormat="false" ht="15" hidden="false" customHeight="true" outlineLevel="0" collapsed="false">
      <c r="A10" s="4" t="str">
        <f aca="false">"Highest-prevalence category: "&amp;INDEX(Per_Vulnerability_Analysis!A11:A11,MATCH(MAX(Per_Vulnerability_Analysis!C11:C11),Per_Vulnerability_Analysis!C11:C11,0))&amp;" ("&amp;TEXT(MAX(Per_Vulnerability_Analysis!E11:E11),"0.0%")&amp;" prevalence)"</f>
        <v>Highest-prevalence category: DoS (7.2% prevalence)</v>
      </c>
    </row>
    <row r="11" customFormat="false" ht="15" hidden="false" customHeight="true" outlineLevel="0" collapsed="false">
      <c r="A11" s="4" t="str">
        <f aca="false">"Only Mythril returned detections in this run; 10 of 11 tracked categories show zero hits — see Formula_Definitions / Per_Vulnerability_Analysis."</f>
        <v>Only Mythril returned detections in this run; 10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8"/>
  </cols>
  <sheetData>
    <row r="1" customFormat="false" ht="15" hidden="false" customHeight="true" outlineLevel="0" collapsed="false">
      <c r="A1" s="5" t="s">
        <v>3</v>
      </c>
      <c r="B1" s="5" t="s">
        <v>4</v>
      </c>
      <c r="C1" s="5" t="s">
        <v>5</v>
      </c>
    </row>
    <row r="2" customFormat="false" ht="23.25" hidden="false" customHeight="true" outlineLevel="0" collapsed="false">
      <c r="A2" s="6" t="s">
        <v>6</v>
      </c>
      <c r="B2" s="6" t="s">
        <v>7</v>
      </c>
      <c r="C2" s="6" t="s">
        <v>8</v>
      </c>
    </row>
    <row r="3" customFormat="false" ht="23.25" hidden="false" customHeight="true" outlineLevel="0" collapsed="false">
      <c r="A3" s="6" t="s">
        <v>9</v>
      </c>
      <c r="B3" s="6" t="s">
        <v>10</v>
      </c>
      <c r="C3" s="6" t="s">
        <v>11</v>
      </c>
    </row>
    <row r="4" customFormat="false" ht="15" hidden="false" customHeight="true" outlineLevel="0" collapsed="false">
      <c r="A4" s="6" t="s">
        <v>12</v>
      </c>
      <c r="B4" s="6" t="s">
        <v>13</v>
      </c>
      <c r="C4" s="6" t="s">
        <v>14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17</v>
      </c>
    </row>
    <row r="6" customFormat="false" ht="15" hidden="false" customHeight="true" outlineLevel="0" collapsed="false">
      <c r="A6" s="6" t="s">
        <v>18</v>
      </c>
      <c r="B6" s="6" t="s">
        <v>19</v>
      </c>
      <c r="C6" s="6" t="s">
        <v>20</v>
      </c>
    </row>
    <row r="7" customFormat="false" ht="15" hidden="false" customHeight="true" outlineLevel="0" collapsed="false">
      <c r="A7" s="6" t="s">
        <v>21</v>
      </c>
      <c r="B7" s="6" t="s">
        <v>22</v>
      </c>
      <c r="C7" s="6" t="s">
        <v>23</v>
      </c>
    </row>
    <row r="8" customFormat="false" ht="23.25" hidden="false" customHeight="true" outlineLevel="0" collapsed="false">
      <c r="A8" s="6" t="s">
        <v>24</v>
      </c>
      <c r="B8" s="6" t="s">
        <v>25</v>
      </c>
      <c r="C8" s="6" t="s">
        <v>26</v>
      </c>
    </row>
    <row r="9" customFormat="false" ht="15" hidden="false" customHeight="true" outlineLevel="0" collapsed="false">
      <c r="A9" s="6" t="s">
        <v>27</v>
      </c>
      <c r="B9" s="6" t="s">
        <v>28</v>
      </c>
      <c r="C9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30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31</v>
      </c>
      <c r="B3" s="8" t="s">
        <v>32</v>
      </c>
      <c r="C3" s="8" t="s">
        <v>6</v>
      </c>
      <c r="D3" s="8" t="s">
        <v>9</v>
      </c>
      <c r="E3" s="8" t="s">
        <v>12</v>
      </c>
      <c r="F3" s="8" t="s">
        <v>33</v>
      </c>
    </row>
    <row r="4" customFormat="false" ht="15" hidden="false" customHeight="true" outlineLevel="0" collapsed="false">
      <c r="A4" s="9" t="s">
        <v>34</v>
      </c>
      <c r="B4" s="9" t="s">
        <v>35</v>
      </c>
      <c r="C4" s="9" t="n">
        <f aca="false">COUNTIF(Data!E2:E266,"&lt;&gt;")</f>
        <v>0</v>
      </c>
      <c r="D4" s="9" t="n">
        <f aca="false">SUM(Data!C2:C266)</f>
        <v>265</v>
      </c>
      <c r="E4" s="10" t="n">
        <f aca="false">IF(D4=0,0,C4/D4)</f>
        <v>0</v>
      </c>
      <c r="F4" s="11" t="s">
        <v>36</v>
      </c>
    </row>
    <row r="5" customFormat="false" ht="15" hidden="false" customHeight="true" outlineLevel="0" collapsed="false">
      <c r="A5" s="9" t="s">
        <v>37</v>
      </c>
      <c r="B5" s="9" t="s">
        <v>35</v>
      </c>
      <c r="C5" s="9" t="n">
        <f aca="false">COUNTIF(Data!F2:F266,"&lt;&gt;")</f>
        <v>0</v>
      </c>
      <c r="D5" s="9" t="n">
        <f aca="false">SUM(Data!C2:C266)</f>
        <v>265</v>
      </c>
      <c r="E5" s="10" t="n">
        <f aca="false">IF(D5=0,0,C5/D5)</f>
        <v>0</v>
      </c>
      <c r="F5" s="11" t="s">
        <v>36</v>
      </c>
    </row>
    <row r="6" customFormat="false" ht="15" hidden="false" customHeight="true" outlineLevel="0" collapsed="false">
      <c r="A6" s="9" t="s">
        <v>38</v>
      </c>
      <c r="B6" s="9" t="s">
        <v>35</v>
      </c>
      <c r="C6" s="9" t="n">
        <f aca="false">COUNTIF(Data!G2:G266,"&lt;&gt;")</f>
        <v>0</v>
      </c>
      <c r="D6" s="9" t="n">
        <f aca="false">SUM(Data!C2:C266)</f>
        <v>265</v>
      </c>
      <c r="E6" s="10" t="n">
        <f aca="false">IF(D6=0,0,C6/D6)</f>
        <v>0</v>
      </c>
      <c r="F6" s="11" t="s">
        <v>36</v>
      </c>
    </row>
    <row r="7" customFormat="false" ht="15" hidden="false" customHeight="true" outlineLevel="0" collapsed="false">
      <c r="A7" s="9" t="s">
        <v>39</v>
      </c>
      <c r="B7" s="9" t="s">
        <v>35</v>
      </c>
      <c r="C7" s="9" t="n">
        <f aca="false">COUNTIF(Data!H2:H266,"&lt;&gt;")</f>
        <v>0</v>
      </c>
      <c r="D7" s="9" t="n">
        <f aca="false">SUM(Data!C2:C266)</f>
        <v>265</v>
      </c>
      <c r="E7" s="10" t="n">
        <f aca="false">IF(D7=0,0,C7/D7)</f>
        <v>0</v>
      </c>
      <c r="F7" s="11" t="s">
        <v>36</v>
      </c>
    </row>
    <row r="8" customFormat="false" ht="15" hidden="false" customHeight="true" outlineLevel="0" collapsed="false">
      <c r="A8" s="9" t="s">
        <v>40</v>
      </c>
      <c r="B8" s="9" t="s">
        <v>35</v>
      </c>
      <c r="C8" s="9" t="n">
        <f aca="false">COUNTIF(Data!I2:I266,"&lt;&gt;")</f>
        <v>0</v>
      </c>
      <c r="D8" s="9" t="n">
        <f aca="false">SUM(Data!C2:C266)</f>
        <v>265</v>
      </c>
      <c r="E8" s="10" t="n">
        <f aca="false">IF(D8=0,0,C8/D8)</f>
        <v>0</v>
      </c>
      <c r="F8" s="11" t="s">
        <v>36</v>
      </c>
    </row>
    <row r="9" customFormat="false" ht="15" hidden="false" customHeight="true" outlineLevel="0" collapsed="false">
      <c r="A9" s="9" t="s">
        <v>41</v>
      </c>
      <c r="B9" s="9" t="s">
        <v>35</v>
      </c>
      <c r="C9" s="9" t="n">
        <f aca="false">COUNTIF(Data!J2:J266,"&lt;&gt;")</f>
        <v>0</v>
      </c>
      <c r="D9" s="9" t="n">
        <f aca="false">SUM(Data!C2:C266)</f>
        <v>265</v>
      </c>
      <c r="E9" s="10" t="n">
        <f aca="false">IF(D9=0,0,C9/D9)</f>
        <v>0</v>
      </c>
      <c r="F9" s="11" t="s">
        <v>36</v>
      </c>
    </row>
    <row r="10" customFormat="false" ht="15" hidden="false" customHeight="true" outlineLevel="0" collapsed="false">
      <c r="A10" s="9" t="s">
        <v>42</v>
      </c>
      <c r="B10" s="9" t="s">
        <v>35</v>
      </c>
      <c r="C10" s="9" t="n">
        <f aca="false">COUNTIF(Data!K2:K266,"&lt;&gt;")</f>
        <v>0</v>
      </c>
      <c r="D10" s="9" t="n">
        <f aca="false">SUM(Data!C2:C266)</f>
        <v>265</v>
      </c>
      <c r="E10" s="10" t="n">
        <f aca="false">IF(D10=0,0,C10/D10)</f>
        <v>0</v>
      </c>
      <c r="F10" s="11" t="s">
        <v>36</v>
      </c>
    </row>
    <row r="11" customFormat="false" ht="15" hidden="false" customHeight="true" outlineLevel="0" collapsed="false">
      <c r="A11" s="9" t="s">
        <v>43</v>
      </c>
      <c r="B11" s="9" t="s">
        <v>44</v>
      </c>
      <c r="C11" s="9" t="n">
        <f aca="false">COUNTIF(Data!L2:L266,"&lt;&gt;")</f>
        <v>19</v>
      </c>
      <c r="D11" s="9" t="n">
        <f aca="false">SUM(Data!C2:C266)</f>
        <v>265</v>
      </c>
      <c r="E11" s="10" t="n">
        <f aca="false">IF(D11=0,0,C11/D11)</f>
        <v>0.0716981132075472</v>
      </c>
      <c r="F11" s="11" t="s">
        <v>45</v>
      </c>
    </row>
    <row r="12" customFormat="false" ht="15" hidden="false" customHeight="true" outlineLevel="0" collapsed="false">
      <c r="A12" s="9" t="s">
        <v>46</v>
      </c>
      <c r="B12" s="9" t="s">
        <v>35</v>
      </c>
      <c r="C12" s="9" t="n">
        <f aca="false">COUNTIF(Data!M2:M266,"&lt;&gt;")</f>
        <v>0</v>
      </c>
      <c r="D12" s="9" t="n">
        <f aca="false">SUM(Data!C2:C266)</f>
        <v>265</v>
      </c>
      <c r="E12" s="10" t="n">
        <f aca="false">IF(D12=0,0,C12/D12)</f>
        <v>0</v>
      </c>
      <c r="F12" s="11" t="s">
        <v>36</v>
      </c>
    </row>
    <row r="13" customFormat="false" ht="15" hidden="false" customHeight="true" outlineLevel="0" collapsed="false">
      <c r="A13" s="9" t="s">
        <v>47</v>
      </c>
      <c r="B13" s="9" t="s">
        <v>35</v>
      </c>
      <c r="C13" s="9" t="n">
        <f aca="false">COUNTIF(Data!N2:N266,"&lt;&gt;")</f>
        <v>0</v>
      </c>
      <c r="D13" s="9" t="n">
        <f aca="false">SUM(Data!C2:C266)</f>
        <v>265</v>
      </c>
      <c r="E13" s="10" t="n">
        <f aca="false">IF(D13=0,0,C13/D13)</f>
        <v>0</v>
      </c>
      <c r="F13" s="11" t="s">
        <v>36</v>
      </c>
    </row>
    <row r="14" customFormat="false" ht="15" hidden="false" customHeight="true" outlineLevel="0" collapsed="false">
      <c r="A14" s="9" t="s">
        <v>48</v>
      </c>
      <c r="B14" s="9" t="s">
        <v>35</v>
      </c>
      <c r="C14" s="9" t="n">
        <f aca="false">COUNTIF(Data!O2:O266,"&lt;&gt;")</f>
        <v>0</v>
      </c>
      <c r="D14" s="9" t="n">
        <f aca="false">SUM(Data!C2:C266)</f>
        <v>265</v>
      </c>
      <c r="E14" s="10" t="n">
        <f aca="false">IF(D14=0,0,C14/D14)</f>
        <v>0</v>
      </c>
      <c r="F14" s="11" t="s">
        <v>36</v>
      </c>
    </row>
    <row r="15" customFormat="false" ht="15" hidden="false" customHeight="true" outlineLevel="0" collapsed="false">
      <c r="A15" s="12" t="s">
        <v>49</v>
      </c>
      <c r="B15" s="12" t="s">
        <v>50</v>
      </c>
      <c r="C15" s="12" t="n">
        <f aca="false">COUNTIFS(Data!C2:C266,1,Data!P2:P266,"Yes")</f>
        <v>19</v>
      </c>
      <c r="D15" s="12" t="n">
        <f aca="false">SUM(Data!C2:C266)</f>
        <v>265</v>
      </c>
      <c r="E15" s="13" t="n">
        <f aca="false">IF(D15=0,0,C15/D15)</f>
        <v>0.0716981132075472</v>
      </c>
      <c r="F15" s="14" t="s">
        <v>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52</v>
      </c>
      <c r="B1" s="7"/>
      <c r="C1" s="7"/>
      <c r="D1" s="7"/>
    </row>
    <row r="3" customFormat="false" ht="15" hidden="false" customHeight="true" outlineLevel="0" collapsed="false">
      <c r="A3" s="15" t="s">
        <v>53</v>
      </c>
      <c r="B3" s="15"/>
      <c r="C3" s="15"/>
      <c r="D3" s="15"/>
    </row>
    <row r="5" customFormat="false" ht="15" hidden="false" customHeight="true" outlineLevel="0" collapsed="false">
      <c r="A5" s="16" t="s">
        <v>18</v>
      </c>
      <c r="B5" s="16" t="s">
        <v>54</v>
      </c>
      <c r="C5" s="16" t="s">
        <v>55</v>
      </c>
      <c r="D5" s="16" t="s">
        <v>33</v>
      </c>
    </row>
    <row r="6" customFormat="false" ht="15" hidden="false" customHeight="true" outlineLevel="0" collapsed="false">
      <c r="A6" s="9" t="s">
        <v>56</v>
      </c>
      <c r="B6" s="9" t="n">
        <f aca="false">SUMPRODUCT((Data!C2:C266=1)*(((Data!L2:L266&lt;&gt;""))=0))</f>
        <v>246</v>
      </c>
      <c r="C6" s="10" t="n">
        <f aca="false">IF(SUM(Data!C2:C266)=0,0,B6/SUM(Data!C2:C266))</f>
        <v>0.928301886792453</v>
      </c>
      <c r="D6" s="17"/>
    </row>
    <row r="7" customFormat="false" ht="15" hidden="false" customHeight="true" outlineLevel="0" collapsed="false">
      <c r="A7" s="9" t="s">
        <v>57</v>
      </c>
      <c r="B7" s="9" t="n">
        <f aca="false">SUMPRODUCT((Data!C2:C266=1)*(((Data!L2:L266&lt;&gt;""))=1))</f>
        <v>19</v>
      </c>
      <c r="C7" s="10" t="n">
        <f aca="false">IF(SUM(Data!C2:C266)=0,0,B7/SUM(Data!C2:C266))</f>
        <v>0.0716981132075472</v>
      </c>
      <c r="D7" s="17"/>
    </row>
    <row r="8" customFormat="false" ht="15" hidden="false" customHeight="true" outlineLevel="0" collapsed="false">
      <c r="A8" s="12" t="s">
        <v>58</v>
      </c>
      <c r="B8" s="12" t="n">
        <f aca="false">SUM(B6:B7)</f>
        <v>265</v>
      </c>
    </row>
    <row r="10" customFormat="false" ht="15" hidden="false" customHeight="true" outlineLevel="0" collapsed="false">
      <c r="A10" s="9" t="s">
        <v>59</v>
      </c>
      <c r="B10" s="9" t="n">
        <f aca="false">COUNTIF(Data!E2:E266,"&lt;&gt;")+COUNTIF(Data!F2:F266,"&lt;&gt;")+COUNTIF(Data!G2:G266,"&lt;&gt;")+COUNTIF(Data!H2:H266,"&lt;&gt;")+COUNTIF(Data!I2:I266,"&lt;&gt;")+COUNTIF(Data!J2:J266,"&lt;&gt;")+COUNTIF(Data!K2:K266,"&lt;&gt;")+COUNTIF(Data!L2:L266,"&lt;&gt;")+COUNTIF(Data!M2:M266,"&lt;&gt;")+COUNTIF(Data!N2:N266,"&lt;&gt;")+COUNTIF(Data!O2:O266,"&lt;&gt;")</f>
        <v>19</v>
      </c>
    </row>
    <row r="11" customFormat="false" ht="15" hidden="false" customHeight="true" outlineLevel="0" collapsed="false">
      <c r="A11" s="9" t="s">
        <v>60</v>
      </c>
      <c r="B11" s="18" t="n">
        <f aca="false">B10/SUM(Data!C2:C266)</f>
        <v>0.0716981132075472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61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62</v>
      </c>
      <c r="B3" s="8" t="s">
        <v>63</v>
      </c>
      <c r="C3" s="8" t="s">
        <v>64</v>
      </c>
      <c r="D3" s="8" t="s">
        <v>9</v>
      </c>
      <c r="E3" s="8" t="s">
        <v>65</v>
      </c>
      <c r="F3" s="8" t="s">
        <v>33</v>
      </c>
    </row>
    <row r="4" customFormat="false" ht="15" hidden="false" customHeight="true" outlineLevel="0" collapsed="false">
      <c r="A4" s="9" t="s">
        <v>44</v>
      </c>
      <c r="B4" s="9" t="s">
        <v>43</v>
      </c>
      <c r="C4" s="9" t="n">
        <f aca="false">SUM(Data!Q2:Q266)</f>
        <v>19</v>
      </c>
      <c r="D4" s="9" t="n">
        <f aca="false">SUM(Data!C2:C266)</f>
        <v>265</v>
      </c>
      <c r="E4" s="10" t="n">
        <f aca="false">IF(D4=0,0,C4/D4)</f>
        <v>0.0716981132075472</v>
      </c>
      <c r="F4" s="11" t="s">
        <v>66</v>
      </c>
    </row>
    <row r="5" customFormat="false" ht="15" hidden="false" customHeight="true" outlineLevel="0" collapsed="false">
      <c r="A5" s="9" t="s">
        <v>67</v>
      </c>
      <c r="B5" s="19" t="s">
        <v>68</v>
      </c>
      <c r="C5" s="9" t="n">
        <v>0</v>
      </c>
      <c r="D5" s="9" t="n">
        <f aca="false">SUM(Data!C2:C266)</f>
        <v>265</v>
      </c>
      <c r="E5" s="10" t="n">
        <v>0</v>
      </c>
      <c r="F5" s="11" t="s">
        <v>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70</v>
      </c>
      <c r="B1" s="7"/>
      <c r="C1" s="7"/>
      <c r="D1" s="7"/>
    </row>
    <row r="3" customFormat="false" ht="15" hidden="false" customHeight="true" outlineLevel="0" collapsed="false">
      <c r="A3" s="9" t="s">
        <v>71</v>
      </c>
      <c r="B3" s="9" t="n">
        <f aca="false">COUNTA(Data!A2:A266)</f>
        <v>265</v>
      </c>
      <c r="C3" s="17"/>
      <c r="D3" s="11"/>
    </row>
    <row r="4" customFormat="false" ht="15" hidden="false" customHeight="true" outlineLevel="0" collapsed="false">
      <c r="A4" s="9" t="s">
        <v>72</v>
      </c>
      <c r="B4" s="9" t="n">
        <v>26</v>
      </c>
      <c r="C4" s="17"/>
      <c r="D4" s="11"/>
    </row>
    <row r="5" customFormat="false" ht="15" hidden="false" customHeight="true" outlineLevel="0" collapsed="false">
      <c r="A5" s="9" t="s">
        <v>73</v>
      </c>
      <c r="B5" s="9" t="n">
        <f aca="false">SUM(Data!C2:C266)</f>
        <v>265</v>
      </c>
      <c r="C5" s="17"/>
      <c r="D5" s="11"/>
    </row>
    <row r="6" customFormat="false" ht="15" hidden="false" customHeight="true" outlineLevel="0" collapsed="false">
      <c r="A6" s="9" t="s">
        <v>74</v>
      </c>
      <c r="B6" s="9" t="n">
        <f aca="false">COUNTA(Data!A2:A266)-SUM(Data!C2:C266)</f>
        <v>0</v>
      </c>
      <c r="C6" s="17"/>
      <c r="D6" s="11"/>
    </row>
    <row r="7" customFormat="false" ht="15" hidden="false" customHeight="true" outlineLevel="0" collapsed="false">
      <c r="A7" s="9" t="s">
        <v>75</v>
      </c>
      <c r="B7" s="9" t="n">
        <f aca="false">SUMPRODUCT((Data!C2:C266=1)*(Data!D2:D266=0))</f>
        <v>0</v>
      </c>
      <c r="C7" s="17"/>
      <c r="D7" s="11" t="s">
        <v>76</v>
      </c>
    </row>
    <row r="8" customFormat="false" ht="15" hidden="false" customHeight="true" outlineLevel="0" collapsed="false">
      <c r="A8" s="9" t="s">
        <v>77</v>
      </c>
      <c r="B8" s="20" t="n">
        <f aca="false">IF(SUMPRODUCT((Data!C2:C266=1)*(Data!D2:D266&gt;0))=0,0,SUMIF(Data!C2:C266,1,Data!D2:D266)/SUMPRODUCT((Data!C2:C266=1)*(Data!D2:D266&gt;0)))</f>
        <v>333.758490566038</v>
      </c>
      <c r="C8" s="17"/>
      <c r="D8" s="11" t="s">
        <v>78</v>
      </c>
    </row>
    <row r="9" customFormat="false" ht="15" hidden="false" customHeight="true" outlineLevel="0" collapsed="false">
      <c r="A9" s="9" t="s">
        <v>79</v>
      </c>
      <c r="B9" s="9" t="n">
        <f aca="false">_xlfn.MINIFS(Data!D2:D266,Data!C2:C266,1,Data!D2:D266,"&gt;0")</f>
        <v>5</v>
      </c>
      <c r="C9" s="17"/>
      <c r="D9" s="11"/>
    </row>
    <row r="10" customFormat="false" ht="15" hidden="false" customHeight="true" outlineLevel="0" collapsed="false">
      <c r="A10" s="9" t="s">
        <v>80</v>
      </c>
      <c r="B10" s="9" t="n">
        <f aca="false">_xlfn.MAXIFS(Data!D2:D266,Data!C2:C266,1)</f>
        <v>1579</v>
      </c>
      <c r="C10" s="17"/>
      <c r="D10" s="11"/>
    </row>
    <row r="12" customFormat="false" ht="15" hidden="false" customHeight="true" outlineLevel="0" collapsed="false">
      <c r="A12" s="21" t="s">
        <v>81</v>
      </c>
      <c r="B12" s="21"/>
      <c r="C12" s="21"/>
      <c r="D12" s="21"/>
    </row>
    <row r="13" customFormat="false" ht="15" hidden="false" customHeight="true" outlineLevel="0" collapsed="false">
      <c r="A13" s="16" t="s">
        <v>82</v>
      </c>
      <c r="B13" s="16" t="s">
        <v>83</v>
      </c>
      <c r="C13" s="16" t="s">
        <v>84</v>
      </c>
      <c r="D13" s="16" t="s">
        <v>85</v>
      </c>
    </row>
    <row r="14" customFormat="false" ht="15" hidden="false" customHeight="true" outlineLevel="0" collapsed="false">
      <c r="A14" s="9" t="s">
        <v>86</v>
      </c>
      <c r="B14" s="9" t="n">
        <f aca="false">COUNTIF(Data!B2:B266,A14)</f>
        <v>11</v>
      </c>
      <c r="C14" s="9" t="n">
        <f aca="false">COUNTIFS(Data!B2:B266,A14,Data!C2:C266,1)</f>
        <v>11</v>
      </c>
      <c r="D14" s="10" t="n">
        <f aca="false">IF(C14=0,0,(COUNTIFS(Data!B2:B266,A14,Data!C2:C266,1,Data!P2:P266,"Yes"))/C14)</f>
        <v>0.0909090909090909</v>
      </c>
    </row>
    <row r="15" customFormat="false" ht="15" hidden="false" customHeight="true" outlineLevel="0" collapsed="false">
      <c r="A15" s="9" t="s">
        <v>87</v>
      </c>
      <c r="B15" s="9" t="n">
        <f aca="false">COUNTIF(Data!B2:B266,A15)</f>
        <v>9</v>
      </c>
      <c r="C15" s="9" t="n">
        <f aca="false">COUNTIFS(Data!B2:B266,A15,Data!C2:C266,1)</f>
        <v>9</v>
      </c>
      <c r="D15" s="10" t="n">
        <f aca="false">IF(C15=0,0,(COUNTIFS(Data!B2:B266,A15,Data!C2:C266,1,Data!P2:P266,"Yes"))/C15)</f>
        <v>0.111111111111111</v>
      </c>
    </row>
    <row r="16" customFormat="false" ht="15" hidden="false" customHeight="true" outlineLevel="0" collapsed="false">
      <c r="A16" s="9" t="s">
        <v>88</v>
      </c>
      <c r="B16" s="9" t="n">
        <f aca="false">COUNTIF(Data!B2:B266,A16)</f>
        <v>14</v>
      </c>
      <c r="C16" s="9" t="n">
        <f aca="false">COUNTIFS(Data!B2:B266,A16,Data!C2:C266,1)</f>
        <v>14</v>
      </c>
      <c r="D16" s="10" t="n">
        <f aca="false">IF(C16=0,0,(COUNTIFS(Data!B2:B266,A16,Data!C2:C266,1,Data!P2:P266,"Yes"))/C16)</f>
        <v>0</v>
      </c>
    </row>
    <row r="17" customFormat="false" ht="15" hidden="false" customHeight="true" outlineLevel="0" collapsed="false">
      <c r="A17" s="9" t="s">
        <v>89</v>
      </c>
      <c r="B17" s="9" t="n">
        <f aca="false">COUNTIF(Data!B2:B266,A17)</f>
        <v>12</v>
      </c>
      <c r="C17" s="9" t="n">
        <f aca="false">COUNTIFS(Data!B2:B266,A17,Data!C2:C266,1)</f>
        <v>12</v>
      </c>
      <c r="D17" s="10" t="n">
        <f aca="false">IF(C17=0,0,(COUNTIFS(Data!B2:B266,A17,Data!C2:C266,1,Data!P2:P266,"Yes"))/C17)</f>
        <v>0</v>
      </c>
    </row>
    <row r="18" customFormat="false" ht="15" hidden="false" customHeight="true" outlineLevel="0" collapsed="false">
      <c r="A18" s="9" t="s">
        <v>90</v>
      </c>
      <c r="B18" s="9" t="n">
        <f aca="false">COUNTIF(Data!B2:B266,A18)</f>
        <v>9</v>
      </c>
      <c r="C18" s="9" t="n">
        <f aca="false">COUNTIFS(Data!B2:B266,A18,Data!C2:C266,1)</f>
        <v>9</v>
      </c>
      <c r="D18" s="10" t="n">
        <f aca="false">IF(C18=0,0,(COUNTIFS(Data!B2:B266,A18,Data!C2:C266,1,Data!P2:P266,"Yes"))/C18)</f>
        <v>0.111111111111111</v>
      </c>
    </row>
    <row r="19" customFormat="false" ht="15" hidden="false" customHeight="true" outlineLevel="0" collapsed="false">
      <c r="A19" s="9" t="s">
        <v>91</v>
      </c>
      <c r="B19" s="9" t="n">
        <f aca="false">COUNTIF(Data!B2:B266,A19)</f>
        <v>8</v>
      </c>
      <c r="C19" s="9" t="n">
        <f aca="false">COUNTIFS(Data!B2:B266,A19,Data!C2:C266,1)</f>
        <v>8</v>
      </c>
      <c r="D19" s="10" t="n">
        <f aca="false">IF(C19=0,0,(COUNTIFS(Data!B2:B266,A19,Data!C2:C266,1,Data!P2:P266,"Yes"))/C19)</f>
        <v>0.25</v>
      </c>
    </row>
    <row r="20" customFormat="false" ht="15" hidden="false" customHeight="true" outlineLevel="0" collapsed="false">
      <c r="A20" s="9" t="s">
        <v>92</v>
      </c>
      <c r="B20" s="9" t="n">
        <f aca="false">COUNTIF(Data!B2:B266,A20)</f>
        <v>16</v>
      </c>
      <c r="C20" s="9" t="n">
        <f aca="false">COUNTIFS(Data!B2:B266,A20,Data!C2:C266,1)</f>
        <v>16</v>
      </c>
      <c r="D20" s="10" t="n">
        <f aca="false">IF(C20=0,0,(COUNTIFS(Data!B2:B266,A20,Data!C2:C266,1,Data!P2:P266,"Yes"))/C20)</f>
        <v>0</v>
      </c>
    </row>
    <row r="21" customFormat="false" ht="15" hidden="false" customHeight="true" outlineLevel="0" collapsed="false">
      <c r="A21" s="9" t="s">
        <v>93</v>
      </c>
      <c r="B21" s="9" t="n">
        <f aca="false">COUNTIF(Data!B2:B266,A21)</f>
        <v>9</v>
      </c>
      <c r="C21" s="9" t="n">
        <f aca="false">COUNTIFS(Data!B2:B266,A21,Data!C2:C266,1)</f>
        <v>9</v>
      </c>
      <c r="D21" s="10" t="n">
        <f aca="false">IF(C21=0,0,(COUNTIFS(Data!B2:B266,A21,Data!C2:C266,1,Data!P2:P266,"Yes"))/C21)</f>
        <v>0.111111111111111</v>
      </c>
    </row>
    <row r="22" customFormat="false" ht="15" hidden="false" customHeight="true" outlineLevel="0" collapsed="false">
      <c r="A22" s="9" t="s">
        <v>94</v>
      </c>
      <c r="B22" s="9" t="n">
        <f aca="false">COUNTIF(Data!B2:B266,A22)</f>
        <v>9</v>
      </c>
      <c r="C22" s="9" t="n">
        <f aca="false">COUNTIFS(Data!B2:B266,A22,Data!C2:C266,1)</f>
        <v>9</v>
      </c>
      <c r="D22" s="10" t="n">
        <f aca="false">IF(C22=0,0,(COUNTIFS(Data!B2:B266,A22,Data!C2:C266,1,Data!P2:P266,"Yes"))/C22)</f>
        <v>0.111111111111111</v>
      </c>
    </row>
    <row r="23" customFormat="false" ht="15" hidden="false" customHeight="true" outlineLevel="0" collapsed="false">
      <c r="A23" s="9" t="s">
        <v>95</v>
      </c>
      <c r="B23" s="9" t="n">
        <f aca="false">COUNTIF(Data!B2:B266,A23)</f>
        <v>11</v>
      </c>
      <c r="C23" s="9" t="n">
        <f aca="false">COUNTIFS(Data!B2:B266,A23,Data!C2:C266,1)</f>
        <v>11</v>
      </c>
      <c r="D23" s="10" t="n">
        <f aca="false">IF(C23=0,0,(COUNTIFS(Data!B2:B266,A23,Data!C2:C266,1,Data!P2:P266,"Yes"))/C23)</f>
        <v>0.0909090909090909</v>
      </c>
    </row>
    <row r="24" customFormat="false" ht="15" hidden="false" customHeight="true" outlineLevel="0" collapsed="false">
      <c r="A24" s="9" t="s">
        <v>96</v>
      </c>
      <c r="B24" s="9" t="n">
        <f aca="false">COUNTIF(Data!B2:B266,A24)</f>
        <v>8</v>
      </c>
      <c r="C24" s="9" t="n">
        <f aca="false">COUNTIFS(Data!B2:B266,A24,Data!C2:C266,1)</f>
        <v>8</v>
      </c>
      <c r="D24" s="10" t="n">
        <f aca="false">IF(C24=0,0,(COUNTIFS(Data!B2:B266,A24,Data!C2:C266,1,Data!P2:P266,"Yes"))/C24)</f>
        <v>0.125</v>
      </c>
    </row>
    <row r="25" customFormat="false" ht="15" hidden="false" customHeight="true" outlineLevel="0" collapsed="false">
      <c r="A25" s="9" t="s">
        <v>97</v>
      </c>
      <c r="B25" s="9" t="n">
        <f aca="false">COUNTIF(Data!B2:B266,A25)</f>
        <v>7</v>
      </c>
      <c r="C25" s="9" t="n">
        <f aca="false">COUNTIFS(Data!B2:B266,A25,Data!C2:C266,1)</f>
        <v>7</v>
      </c>
      <c r="D25" s="10" t="n">
        <f aca="false">IF(C25=0,0,(COUNTIFS(Data!B2:B266,A25,Data!C2:C266,1,Data!P2:P266,"Yes"))/C25)</f>
        <v>0</v>
      </c>
    </row>
    <row r="26" customFormat="false" ht="15" hidden="false" customHeight="true" outlineLevel="0" collapsed="false">
      <c r="A26" s="9" t="s">
        <v>98</v>
      </c>
      <c r="B26" s="9" t="n">
        <f aca="false">COUNTIF(Data!B2:B266,A26)</f>
        <v>13</v>
      </c>
      <c r="C26" s="9" t="n">
        <f aca="false">COUNTIFS(Data!B2:B266,A26,Data!C2:C266,1)</f>
        <v>13</v>
      </c>
      <c r="D26" s="10" t="n">
        <f aca="false">IF(C26=0,0,(COUNTIFS(Data!B2:B266,A26,Data!C2:C266,1,Data!P2:P266,"Yes"))/C26)</f>
        <v>0.0769230769230769</v>
      </c>
    </row>
    <row r="27" customFormat="false" ht="15" hidden="false" customHeight="true" outlineLevel="0" collapsed="false">
      <c r="A27" s="9" t="s">
        <v>99</v>
      </c>
      <c r="B27" s="9" t="n">
        <f aca="false">COUNTIF(Data!B2:B266,A27)</f>
        <v>11</v>
      </c>
      <c r="C27" s="9" t="n">
        <f aca="false">COUNTIFS(Data!B2:B266,A27,Data!C2:C266,1)</f>
        <v>11</v>
      </c>
      <c r="D27" s="10" t="n">
        <f aca="false">IF(C27=0,0,(COUNTIFS(Data!B2:B266,A27,Data!C2:C266,1,Data!P2:P266,"Yes"))/C27)</f>
        <v>0.0909090909090909</v>
      </c>
    </row>
    <row r="28" customFormat="false" ht="15" hidden="false" customHeight="true" outlineLevel="0" collapsed="false">
      <c r="A28" s="9" t="s">
        <v>100</v>
      </c>
      <c r="B28" s="9" t="n">
        <f aca="false">COUNTIF(Data!B2:B266,A28)</f>
        <v>9</v>
      </c>
      <c r="C28" s="9" t="n">
        <f aca="false">COUNTIFS(Data!B2:B266,A28,Data!C2:C266,1)</f>
        <v>9</v>
      </c>
      <c r="D28" s="10" t="n">
        <f aca="false">IF(C28=0,0,(COUNTIFS(Data!B2:B266,A28,Data!C2:C266,1,Data!P2:P266,"Yes"))/C28)</f>
        <v>0.111111111111111</v>
      </c>
    </row>
    <row r="29" customFormat="false" ht="15" hidden="false" customHeight="true" outlineLevel="0" collapsed="false">
      <c r="A29" s="9" t="s">
        <v>101</v>
      </c>
      <c r="B29" s="9" t="n">
        <f aca="false">COUNTIF(Data!B2:B266,A29)</f>
        <v>12</v>
      </c>
      <c r="C29" s="9" t="n">
        <f aca="false">COUNTIFS(Data!B2:B266,A29,Data!C2:C266,1)</f>
        <v>12</v>
      </c>
      <c r="D29" s="10" t="n">
        <f aca="false">IF(C29=0,0,(COUNTIFS(Data!B2:B266,A29,Data!C2:C266,1,Data!P2:P266,"Yes"))/C29)</f>
        <v>0</v>
      </c>
    </row>
    <row r="30" customFormat="false" ht="15" hidden="false" customHeight="true" outlineLevel="0" collapsed="false">
      <c r="A30" s="9" t="s">
        <v>102</v>
      </c>
      <c r="B30" s="9" t="n">
        <f aca="false">COUNTIF(Data!B2:B266,A30)</f>
        <v>11</v>
      </c>
      <c r="C30" s="9" t="n">
        <f aca="false">COUNTIFS(Data!B2:B266,A30,Data!C2:C266,1)</f>
        <v>11</v>
      </c>
      <c r="D30" s="10" t="n">
        <f aca="false">IF(C30=0,0,(COUNTIFS(Data!B2:B266,A30,Data!C2:C266,1,Data!P2:P266,"Yes"))/C30)</f>
        <v>0.0909090909090909</v>
      </c>
    </row>
    <row r="31" customFormat="false" ht="15" hidden="false" customHeight="true" outlineLevel="0" collapsed="false">
      <c r="A31" s="9" t="s">
        <v>103</v>
      </c>
      <c r="B31" s="9" t="n">
        <f aca="false">COUNTIF(Data!B2:B266,A31)</f>
        <v>9</v>
      </c>
      <c r="C31" s="9" t="n">
        <f aca="false">COUNTIFS(Data!B2:B266,A31,Data!C2:C266,1)</f>
        <v>9</v>
      </c>
      <c r="D31" s="10" t="n">
        <f aca="false">IF(C31=0,0,(COUNTIFS(Data!B2:B266,A31,Data!C2:C266,1,Data!P2:P266,"Yes"))/C31)</f>
        <v>0.111111111111111</v>
      </c>
    </row>
    <row r="32" customFormat="false" ht="15" hidden="false" customHeight="true" outlineLevel="0" collapsed="false">
      <c r="A32" s="9" t="s">
        <v>104</v>
      </c>
      <c r="B32" s="9" t="n">
        <f aca="false">COUNTIF(Data!B2:B266,A32)</f>
        <v>11</v>
      </c>
      <c r="C32" s="9" t="n">
        <f aca="false">COUNTIFS(Data!B2:B266,A32,Data!C2:C266,1)</f>
        <v>11</v>
      </c>
      <c r="D32" s="10" t="n">
        <f aca="false">IF(C32=0,0,(COUNTIFS(Data!B2:B266,A32,Data!C2:C266,1,Data!P2:P266,"Yes"))/C32)</f>
        <v>0.0909090909090909</v>
      </c>
    </row>
    <row r="33" customFormat="false" ht="15" hidden="false" customHeight="true" outlineLevel="0" collapsed="false">
      <c r="A33" s="9" t="s">
        <v>105</v>
      </c>
      <c r="B33" s="9" t="n">
        <f aca="false">COUNTIF(Data!B2:B266,A33)</f>
        <v>11</v>
      </c>
      <c r="C33" s="9" t="n">
        <f aca="false">COUNTIFS(Data!B2:B266,A33,Data!C2:C266,1)</f>
        <v>11</v>
      </c>
      <c r="D33" s="10" t="n">
        <f aca="false">IF(C33=0,0,(COUNTIFS(Data!B2:B266,A33,Data!C2:C266,1,Data!P2:P266,"Yes"))/C33)</f>
        <v>0.0909090909090909</v>
      </c>
    </row>
    <row r="34" customFormat="false" ht="15" hidden="false" customHeight="true" outlineLevel="0" collapsed="false">
      <c r="A34" s="9" t="s">
        <v>106</v>
      </c>
      <c r="B34" s="9" t="n">
        <f aca="false">COUNTIF(Data!B2:B266,A34)</f>
        <v>12</v>
      </c>
      <c r="C34" s="9" t="n">
        <f aca="false">COUNTIFS(Data!B2:B266,A34,Data!C2:C266,1)</f>
        <v>12</v>
      </c>
      <c r="D34" s="10" t="n">
        <f aca="false">IF(C34=0,0,(COUNTIFS(Data!B2:B266,A34,Data!C2:C266,1,Data!P2:P266,"Yes"))/C34)</f>
        <v>0</v>
      </c>
    </row>
    <row r="35" customFormat="false" ht="15" hidden="false" customHeight="true" outlineLevel="0" collapsed="false">
      <c r="A35" s="9" t="s">
        <v>107</v>
      </c>
      <c r="B35" s="9" t="n">
        <f aca="false">COUNTIF(Data!B2:B266,A35)</f>
        <v>9</v>
      </c>
      <c r="C35" s="9" t="n">
        <f aca="false">COUNTIFS(Data!B2:B266,A35,Data!C2:C266,1)</f>
        <v>9</v>
      </c>
      <c r="D35" s="10" t="n">
        <f aca="false">IF(C35=0,0,(COUNTIFS(Data!B2:B266,A35,Data!C2:C266,1,Data!P2:P266,"Yes"))/C35)</f>
        <v>0.111111111111111</v>
      </c>
    </row>
    <row r="36" customFormat="false" ht="15" hidden="false" customHeight="true" outlineLevel="0" collapsed="false">
      <c r="A36" s="9" t="s">
        <v>108</v>
      </c>
      <c r="B36" s="9" t="n">
        <f aca="false">COUNTIF(Data!B2:B266,A36)</f>
        <v>11</v>
      </c>
      <c r="C36" s="9" t="n">
        <f aca="false">COUNTIFS(Data!B2:B266,A36,Data!C2:C266,1)</f>
        <v>11</v>
      </c>
      <c r="D36" s="10" t="n">
        <f aca="false">IF(C36=0,0,(COUNTIFS(Data!B2:B266,A36,Data!C2:C266,1,Data!P2:P266,"Yes"))/C36)</f>
        <v>0.0909090909090909</v>
      </c>
    </row>
    <row r="37" customFormat="false" ht="15" hidden="false" customHeight="true" outlineLevel="0" collapsed="false">
      <c r="A37" s="9" t="s">
        <v>109</v>
      </c>
      <c r="B37" s="9" t="n">
        <f aca="false">COUNTIF(Data!B2:B266,A37)</f>
        <v>9</v>
      </c>
      <c r="C37" s="9" t="n">
        <f aca="false">COUNTIFS(Data!B2:B266,A37,Data!C2:C266,1)</f>
        <v>9</v>
      </c>
      <c r="D37" s="10" t="n">
        <f aca="false">IF(C37=0,0,(COUNTIFS(Data!B2:B266,A37,Data!C2:C266,1,Data!P2:P266,"Yes"))/C37)</f>
        <v>0.111111111111111</v>
      </c>
    </row>
    <row r="38" customFormat="false" ht="15" hidden="false" customHeight="true" outlineLevel="0" collapsed="false">
      <c r="A38" s="9" t="s">
        <v>110</v>
      </c>
      <c r="B38" s="9" t="n">
        <f aca="false">COUNTIF(Data!B2:B266,A38)</f>
        <v>7</v>
      </c>
      <c r="C38" s="9" t="n">
        <f aca="false">COUNTIFS(Data!B2:B266,A38,Data!C2:C266,1)</f>
        <v>7</v>
      </c>
      <c r="D38" s="10" t="n">
        <f aca="false">IF(C38=0,0,(COUNTIFS(Data!B2:B266,A38,Data!C2:C266,1,Data!P2:P266,"Yes"))/C38)</f>
        <v>0</v>
      </c>
    </row>
    <row r="39" customFormat="false" ht="15" hidden="false" customHeight="true" outlineLevel="0" collapsed="false">
      <c r="A39" s="9" t="s">
        <v>111</v>
      </c>
      <c r="B39" s="9" t="n">
        <f aca="false">COUNTIF(Data!B2:B266,A39)</f>
        <v>7</v>
      </c>
      <c r="C39" s="9" t="n">
        <f aca="false">COUNTIFS(Data!B2:B266,A39,Data!C2:C266,1)</f>
        <v>7</v>
      </c>
      <c r="D39" s="10" t="n">
        <f aca="false">IF(C39=0,0,(COUNTIFS(Data!B2:B266,A39,Data!C2:C266,1,Data!P2:P266,"Yes"))/C39)</f>
        <v>0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112</v>
      </c>
      <c r="B1" s="7"/>
      <c r="C1" s="7"/>
      <c r="D1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7.25" hidden="false" customHeight="true" outlineLevel="0" collapsed="false">
      <c r="A1" s="2" t="s">
        <v>113</v>
      </c>
    </row>
    <row r="3" customFormat="false" ht="30" hidden="false" customHeight="true" outlineLevel="0" collapsed="false">
      <c r="A3" s="4" t="str">
        <f aca="false">"1. Bytecode resolution: "&amp;SUM(Data!C2:C266)&amp;" of "&amp;COUNTA(Data!A2:A266)&amp;" queried addresses ("&amp;TEXT(SUM(Data!C2:C266)/COUNTA(Data!A2:A266),"0.0%")&amp;") resolved to deployed bytecode; the rest are EOAs, unverified, or not found on-chain."</f>
        <v>1. Bytecode resolution: 265 of 265 queried addresses (100.0%) resolved to deployed bytecode; the rest are EOAs, unverified, or not found on-chain.</v>
      </c>
    </row>
    <row r="4" customFormat="false" ht="30" hidden="false" customHeight="true" outlineLevel="0" collapsed="false">
      <c r="A4" s="4" t="str">
        <f aca="false">"2. Detection coverage: only Mythril produced any detections. Reentrancy, Integer, Access Control, Delegatecall, Unchecked Call, Timestamp, TOD, Selfdestruct, Locked Ether, Ether Leak all show zero hits in this bytecode run."</f>
        <v>2. Detection coverage: only Mythril produced any detections. Reentrancy, Integer, Access Control, Delegatecall, Unchecked Call, Timestamp, TOD, Selfdestruct, Locked Ether, Ether Leak all show zero hits in this bytecode run.</v>
      </c>
    </row>
    <row r="5" customFormat="false" ht="30" hidden="false" customHeight="true" outlineLevel="0" collapsed="false">
      <c r="A5" s="4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19 of 265 resolved contracts (7.2%)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.75" hidden="false" customHeight="true" outlineLevel="0" collapsed="false">
      <c r="A1" s="22" t="s">
        <v>114</v>
      </c>
    </row>
    <row r="2" customFormat="false" ht="21.75" hidden="false" customHeight="true" outlineLevel="0" collapsed="false">
      <c r="A2" s="23" t="s">
        <v>115</v>
      </c>
    </row>
    <row r="4" customFormat="false" ht="15.75" hidden="false" customHeight="true" outlineLevel="0" collapsed="false">
      <c r="A4" s="24" t="s">
        <v>116</v>
      </c>
    </row>
    <row r="5" customFormat="false" ht="31.5" hidden="false" customHeight="true" outlineLevel="0" collapsed="false">
      <c r="A5" s="25" t="s">
        <v>117</v>
      </c>
    </row>
    <row r="6" customFormat="false" ht="43.5" hidden="false" customHeight="true" outlineLevel="0" collapsed="false">
      <c r="A6" s="25" t="s">
        <v>118</v>
      </c>
    </row>
    <row r="8" customFormat="false" ht="15.75" hidden="false" customHeight="true" outlineLevel="0" collapsed="false">
      <c r="A8" s="24" t="s">
        <v>119</v>
      </c>
    </row>
    <row r="9" customFormat="false" ht="43.5" hidden="false" customHeight="true" outlineLevel="0" collapsed="false">
      <c r="A9" s="25" t="s">
        <v>120</v>
      </c>
    </row>
    <row r="10" customFormat="false" ht="55.5" hidden="false" customHeight="true" outlineLevel="0" collapsed="false">
      <c r="A10" s="26" t="s">
        <v>121</v>
      </c>
    </row>
    <row r="12" customFormat="false" ht="15.75" hidden="false" customHeight="true" outlineLevel="0" collapsed="false">
      <c r="A12" s="24" t="s">
        <v>122</v>
      </c>
    </row>
    <row r="13" customFormat="false" ht="48" hidden="false" customHeight="true" outlineLevel="0" collapsed="false">
      <c r="A13" s="25" t="s">
        <v>123</v>
      </c>
    </row>
    <row r="14" customFormat="false" ht="15.75" hidden="false" customHeight="true" outlineLevel="0" collapsed="false">
      <c r="A14" s="25" t="s">
        <v>124</v>
      </c>
    </row>
    <row r="16" customFormat="false" ht="15.75" hidden="false" customHeight="true" outlineLevel="0" collapsed="false">
      <c r="A16" s="27" t="s">
        <v>125</v>
      </c>
    </row>
    <row r="17" customFormat="false" ht="55.5" hidden="false" customHeight="true" outlineLevel="0" collapsed="false">
      <c r="A17" s="26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15" min="5" style="1" width="12"/>
    <col collapsed="false" customWidth="true" hidden="false" outlineLevel="0" max="16" min="16" style="1" width="11"/>
    <col collapsed="false" customWidth="true" hidden="false" outlineLevel="0" max="17" min="17" style="1" width="13"/>
  </cols>
  <sheetData>
    <row r="1" customFormat="false" ht="15" hidden="false" customHeight="true" outlineLevel="0" collapsed="false">
      <c r="A1" s="16" t="s">
        <v>127</v>
      </c>
      <c r="B1" s="16" t="s">
        <v>82</v>
      </c>
      <c r="C1" s="16" t="s">
        <v>128</v>
      </c>
      <c r="D1" s="16" t="s">
        <v>129</v>
      </c>
      <c r="E1" s="16" t="s">
        <v>34</v>
      </c>
      <c r="F1" s="16" t="s">
        <v>37</v>
      </c>
      <c r="G1" s="16" t="s">
        <v>130</v>
      </c>
      <c r="H1" s="16" t="s">
        <v>39</v>
      </c>
      <c r="I1" s="16" t="s">
        <v>131</v>
      </c>
      <c r="J1" s="16" t="s">
        <v>41</v>
      </c>
      <c r="K1" s="16" t="s">
        <v>42</v>
      </c>
      <c r="L1" s="16" t="s">
        <v>43</v>
      </c>
      <c r="M1" s="16" t="s">
        <v>46</v>
      </c>
      <c r="N1" s="16" t="s">
        <v>132</v>
      </c>
      <c r="O1" s="16" t="s">
        <v>133</v>
      </c>
      <c r="P1" s="16" t="s">
        <v>134</v>
      </c>
      <c r="Q1" s="16" t="s">
        <v>135</v>
      </c>
    </row>
    <row r="2" customFormat="false" ht="15" hidden="false" customHeight="true" outlineLevel="0" collapsed="false">
      <c r="A2" s="9" t="s">
        <v>136</v>
      </c>
      <c r="B2" s="9" t="s">
        <v>87</v>
      </c>
      <c r="C2" s="9" t="n">
        <v>1</v>
      </c>
      <c r="D2" s="9" t="n">
        <v>77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 t="s">
        <v>137</v>
      </c>
      <c r="Q2" s="9" t="n">
        <v>0</v>
      </c>
    </row>
    <row r="3" customFormat="false" ht="15" hidden="false" customHeight="true" outlineLevel="0" collapsed="false">
      <c r="A3" s="9" t="s">
        <v>138</v>
      </c>
      <c r="B3" s="9" t="s">
        <v>87</v>
      </c>
      <c r="C3" s="9" t="n">
        <v>1</v>
      </c>
      <c r="D3" s="9" t="n">
        <v>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137</v>
      </c>
      <c r="Q3" s="9" t="n">
        <v>0</v>
      </c>
    </row>
    <row r="4" customFormat="false" ht="15" hidden="false" customHeight="true" outlineLevel="0" collapsed="false">
      <c r="A4" s="9" t="s">
        <v>139</v>
      </c>
      <c r="B4" s="9" t="s">
        <v>87</v>
      </c>
      <c r="C4" s="9" t="n">
        <v>1</v>
      </c>
      <c r="D4" s="9" t="n">
        <v>1579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 t="s">
        <v>137</v>
      </c>
      <c r="Q4" s="9" t="n">
        <v>0</v>
      </c>
    </row>
    <row r="5" customFormat="false" ht="15" hidden="false" customHeight="true" outlineLevel="0" collapsed="false">
      <c r="A5" s="9" t="s">
        <v>140</v>
      </c>
      <c r="B5" s="9" t="s">
        <v>87</v>
      </c>
      <c r="C5" s="9" t="n">
        <v>1</v>
      </c>
      <c r="D5" s="9" t="n">
        <v>135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 t="s">
        <v>137</v>
      </c>
      <c r="Q5" s="9" t="n">
        <v>0</v>
      </c>
    </row>
    <row r="6" customFormat="false" ht="15" hidden="false" customHeight="true" outlineLevel="0" collapsed="false">
      <c r="A6" s="9" t="s">
        <v>141</v>
      </c>
      <c r="B6" s="9" t="s">
        <v>87</v>
      </c>
      <c r="C6" s="9" t="n">
        <v>1</v>
      </c>
      <c r="D6" s="9" t="n">
        <v>1391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 t="s">
        <v>137</v>
      </c>
      <c r="Q6" s="9" t="n">
        <v>0</v>
      </c>
    </row>
    <row r="7" customFormat="false" ht="15" hidden="false" customHeight="true" outlineLevel="0" collapsed="false">
      <c r="A7" s="9" t="s">
        <v>142</v>
      </c>
      <c r="B7" s="9" t="s">
        <v>87</v>
      </c>
      <c r="C7" s="9" t="n">
        <v>1</v>
      </c>
      <c r="D7" s="9" t="n">
        <v>135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s">
        <v>137</v>
      </c>
      <c r="Q7" s="9" t="n">
        <v>0</v>
      </c>
    </row>
    <row r="8" customFormat="false" ht="15" hidden="false" customHeight="true" outlineLevel="0" collapsed="false">
      <c r="A8" s="9" t="s">
        <v>143</v>
      </c>
      <c r="B8" s="9" t="s">
        <v>87</v>
      </c>
      <c r="C8" s="9" t="n">
        <v>1</v>
      </c>
      <c r="D8" s="9" t="n">
        <v>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s">
        <v>137</v>
      </c>
      <c r="Q8" s="9" t="n">
        <v>0</v>
      </c>
    </row>
    <row r="9" customFormat="false" ht="15" hidden="false" customHeight="true" outlineLevel="0" collapsed="false">
      <c r="A9" s="9" t="s">
        <v>144</v>
      </c>
      <c r="B9" s="9" t="s">
        <v>87</v>
      </c>
      <c r="C9" s="9" t="n">
        <v>1</v>
      </c>
      <c r="D9" s="9" t="n">
        <v>135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 t="s">
        <v>137</v>
      </c>
      <c r="Q9" s="9" t="n">
        <v>0</v>
      </c>
    </row>
    <row r="10" customFormat="false" ht="15" hidden="false" customHeight="true" outlineLevel="0" collapsed="false">
      <c r="A10" s="9" t="s">
        <v>145</v>
      </c>
      <c r="B10" s="9" t="s">
        <v>87</v>
      </c>
      <c r="C10" s="9" t="n">
        <v>1</v>
      </c>
      <c r="D10" s="9" t="n">
        <v>494</v>
      </c>
      <c r="E10" s="9"/>
      <c r="F10" s="9"/>
      <c r="G10" s="9"/>
      <c r="H10" s="9"/>
      <c r="I10" s="9"/>
      <c r="J10" s="9"/>
      <c r="K10" s="9"/>
      <c r="L10" s="9" t="s">
        <v>44</v>
      </c>
      <c r="M10" s="9"/>
      <c r="N10" s="9"/>
      <c r="O10" s="9"/>
      <c r="P10" s="9" t="s">
        <v>146</v>
      </c>
      <c r="Q10" s="9" t="n">
        <v>1</v>
      </c>
    </row>
    <row r="11" customFormat="false" ht="15" hidden="false" customHeight="true" outlineLevel="0" collapsed="false">
      <c r="A11" s="9" t="s">
        <v>147</v>
      </c>
      <c r="B11" s="9" t="s">
        <v>86</v>
      </c>
      <c r="C11" s="9" t="n">
        <v>1</v>
      </c>
      <c r="D11" s="9" t="n">
        <v>249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 t="s">
        <v>137</v>
      </c>
      <c r="Q11" s="9" t="n">
        <v>0</v>
      </c>
    </row>
    <row r="12" customFormat="false" ht="15" hidden="false" customHeight="true" outlineLevel="0" collapsed="false">
      <c r="A12" s="9" t="s">
        <v>148</v>
      </c>
      <c r="B12" s="9" t="s">
        <v>86</v>
      </c>
      <c r="C12" s="9" t="n">
        <v>1</v>
      </c>
      <c r="D12" s="9" t="n">
        <v>135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 t="s">
        <v>137</v>
      </c>
      <c r="Q12" s="9" t="n">
        <v>0</v>
      </c>
    </row>
    <row r="13" customFormat="false" ht="15" hidden="false" customHeight="true" outlineLevel="0" collapsed="false">
      <c r="A13" s="9" t="s">
        <v>149</v>
      </c>
      <c r="B13" s="9" t="s">
        <v>86</v>
      </c>
      <c r="C13" s="9" t="n">
        <v>1</v>
      </c>
      <c r="D13" s="9" t="n">
        <v>77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 t="s">
        <v>137</v>
      </c>
      <c r="Q13" s="9" t="n">
        <v>0</v>
      </c>
    </row>
    <row r="14" customFormat="false" ht="15" hidden="false" customHeight="true" outlineLevel="0" collapsed="false">
      <c r="A14" s="9" t="s">
        <v>150</v>
      </c>
      <c r="B14" s="9" t="s">
        <v>86</v>
      </c>
      <c r="C14" s="9" t="n">
        <v>1</v>
      </c>
      <c r="D14" s="9" t="n">
        <v>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 t="s">
        <v>137</v>
      </c>
      <c r="Q14" s="9" t="n">
        <v>0</v>
      </c>
    </row>
    <row r="15" customFormat="false" ht="15" hidden="false" customHeight="true" outlineLevel="0" collapsed="false">
      <c r="A15" s="9" t="s">
        <v>151</v>
      </c>
      <c r="B15" s="9" t="s">
        <v>86</v>
      </c>
      <c r="C15" s="9" t="n">
        <v>1</v>
      </c>
      <c r="D15" s="9" t="n">
        <v>1579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 t="s">
        <v>137</v>
      </c>
      <c r="Q15" s="9" t="n">
        <v>0</v>
      </c>
    </row>
    <row r="16" customFormat="false" ht="15" hidden="false" customHeight="true" outlineLevel="0" collapsed="false">
      <c r="A16" s="9" t="s">
        <v>152</v>
      </c>
      <c r="B16" s="9" t="s">
        <v>86</v>
      </c>
      <c r="C16" s="9" t="n">
        <v>1</v>
      </c>
      <c r="D16" s="9" t="n">
        <v>135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 t="s">
        <v>137</v>
      </c>
      <c r="Q16" s="9" t="n">
        <v>0</v>
      </c>
    </row>
    <row r="17" customFormat="false" ht="15" hidden="false" customHeight="true" outlineLevel="0" collapsed="false">
      <c r="A17" s="9" t="s">
        <v>153</v>
      </c>
      <c r="B17" s="9" t="s">
        <v>86</v>
      </c>
      <c r="C17" s="9" t="n">
        <v>1</v>
      </c>
      <c r="D17" s="9" t="n">
        <v>1391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 t="s">
        <v>137</v>
      </c>
      <c r="Q17" s="9" t="n">
        <v>0</v>
      </c>
    </row>
    <row r="18" customFormat="false" ht="15" hidden="false" customHeight="true" outlineLevel="0" collapsed="false">
      <c r="A18" s="9" t="s">
        <v>154</v>
      </c>
      <c r="B18" s="9" t="s">
        <v>86</v>
      </c>
      <c r="C18" s="9" t="n">
        <v>1</v>
      </c>
      <c r="D18" s="9" t="n">
        <v>135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 t="s">
        <v>137</v>
      </c>
      <c r="Q18" s="9" t="n">
        <v>0</v>
      </c>
    </row>
    <row r="19" customFormat="false" ht="15" hidden="false" customHeight="true" outlineLevel="0" collapsed="false">
      <c r="A19" s="9" t="s">
        <v>155</v>
      </c>
      <c r="B19" s="9" t="s">
        <v>86</v>
      </c>
      <c r="C19" s="9" t="n">
        <v>1</v>
      </c>
      <c r="D19" s="9" t="n">
        <v>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 t="s">
        <v>137</v>
      </c>
      <c r="Q19" s="9" t="n">
        <v>0</v>
      </c>
    </row>
    <row r="20" customFormat="false" ht="15" hidden="false" customHeight="true" outlineLevel="0" collapsed="false">
      <c r="A20" s="9" t="s">
        <v>156</v>
      </c>
      <c r="B20" s="9" t="s">
        <v>86</v>
      </c>
      <c r="C20" s="9" t="n">
        <v>1</v>
      </c>
      <c r="D20" s="9" t="n">
        <v>135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137</v>
      </c>
      <c r="Q20" s="9" t="n">
        <v>0</v>
      </c>
    </row>
    <row r="21" customFormat="false" ht="15" hidden="false" customHeight="true" outlineLevel="0" collapsed="false">
      <c r="A21" s="9" t="s">
        <v>157</v>
      </c>
      <c r="B21" s="9" t="s">
        <v>86</v>
      </c>
      <c r="C21" s="9" t="n">
        <v>1</v>
      </c>
      <c r="D21" s="9" t="n">
        <v>494</v>
      </c>
      <c r="E21" s="9"/>
      <c r="F21" s="9"/>
      <c r="G21" s="9"/>
      <c r="H21" s="9"/>
      <c r="I21" s="9"/>
      <c r="J21" s="9"/>
      <c r="K21" s="9"/>
      <c r="L21" s="9" t="s">
        <v>44</v>
      </c>
      <c r="M21" s="9"/>
      <c r="N21" s="9"/>
      <c r="O21" s="9"/>
      <c r="P21" s="9" t="s">
        <v>146</v>
      </c>
      <c r="Q21" s="9" t="n">
        <v>1</v>
      </c>
    </row>
    <row r="22" customFormat="false" ht="15" hidden="false" customHeight="true" outlineLevel="0" collapsed="false">
      <c r="A22" s="9" t="s">
        <v>158</v>
      </c>
      <c r="B22" s="9" t="s">
        <v>88</v>
      </c>
      <c r="C22" s="9" t="n">
        <v>1</v>
      </c>
      <c r="D22" s="9" t="n">
        <v>105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 t="s">
        <v>137</v>
      </c>
      <c r="Q22" s="9" t="n">
        <v>0</v>
      </c>
    </row>
    <row r="23" customFormat="false" ht="15" hidden="false" customHeight="true" outlineLevel="0" collapsed="false">
      <c r="A23" s="9" t="s">
        <v>159</v>
      </c>
      <c r="B23" s="9" t="s">
        <v>88</v>
      </c>
      <c r="C23" s="9" t="n">
        <v>1</v>
      </c>
      <c r="D23" s="9" t="n">
        <v>105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 t="s">
        <v>137</v>
      </c>
      <c r="Q23" s="9" t="n">
        <v>0</v>
      </c>
    </row>
    <row r="24" customFormat="false" ht="15" hidden="false" customHeight="true" outlineLevel="0" collapsed="false">
      <c r="A24" s="9" t="s">
        <v>160</v>
      </c>
      <c r="B24" s="9" t="s">
        <v>88</v>
      </c>
      <c r="C24" s="9" t="n">
        <v>1</v>
      </c>
      <c r="D24" s="9" t="n">
        <v>105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 t="s">
        <v>137</v>
      </c>
      <c r="Q24" s="9" t="n">
        <v>0</v>
      </c>
    </row>
    <row r="25" customFormat="false" ht="15" hidden="false" customHeight="true" outlineLevel="0" collapsed="false">
      <c r="A25" s="9" t="s">
        <v>161</v>
      </c>
      <c r="B25" s="9" t="s">
        <v>88</v>
      </c>
      <c r="C25" s="9" t="n">
        <v>1</v>
      </c>
      <c r="D25" s="9" t="n">
        <v>105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 t="s">
        <v>137</v>
      </c>
      <c r="Q25" s="9" t="n">
        <v>0</v>
      </c>
    </row>
    <row r="26" customFormat="false" ht="15" hidden="false" customHeight="true" outlineLevel="0" collapsed="false">
      <c r="A26" s="9" t="s">
        <v>162</v>
      </c>
      <c r="B26" s="9" t="s">
        <v>88</v>
      </c>
      <c r="C26" s="9" t="n">
        <v>1</v>
      </c>
      <c r="D26" s="9" t="n">
        <v>105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 t="s">
        <v>137</v>
      </c>
      <c r="Q26" s="9" t="n">
        <v>0</v>
      </c>
    </row>
    <row r="27" customFormat="false" ht="15" hidden="false" customHeight="true" outlineLevel="0" collapsed="false">
      <c r="A27" s="9" t="s">
        <v>163</v>
      </c>
      <c r="B27" s="9" t="s">
        <v>88</v>
      </c>
      <c r="C27" s="9" t="n">
        <v>1</v>
      </c>
      <c r="D27" s="9" t="n">
        <v>105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 t="s">
        <v>137</v>
      </c>
      <c r="Q27" s="9" t="n">
        <v>0</v>
      </c>
    </row>
    <row r="28" customFormat="false" ht="15" hidden="false" customHeight="true" outlineLevel="0" collapsed="false">
      <c r="A28" s="9" t="s">
        <v>164</v>
      </c>
      <c r="B28" s="9" t="s">
        <v>88</v>
      </c>
      <c r="C28" s="9" t="n">
        <v>1</v>
      </c>
      <c r="D28" s="9" t="n">
        <v>105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 t="s">
        <v>137</v>
      </c>
      <c r="Q28" s="9" t="n">
        <v>0</v>
      </c>
    </row>
    <row r="29" customFormat="false" ht="15" hidden="false" customHeight="true" outlineLevel="0" collapsed="false">
      <c r="A29" s="9" t="s">
        <v>165</v>
      </c>
      <c r="B29" s="9" t="s">
        <v>88</v>
      </c>
      <c r="C29" s="9" t="n">
        <v>1</v>
      </c>
      <c r="D29" s="9" t="n">
        <v>105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 t="s">
        <v>137</v>
      </c>
      <c r="Q29" s="9" t="n">
        <v>0</v>
      </c>
    </row>
    <row r="30" customFormat="false" ht="15" hidden="false" customHeight="true" outlineLevel="0" collapsed="false">
      <c r="A30" s="9" t="s">
        <v>166</v>
      </c>
      <c r="B30" s="9" t="s">
        <v>88</v>
      </c>
      <c r="C30" s="9" t="n">
        <v>1</v>
      </c>
      <c r="D30" s="9" t="n">
        <v>105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 t="s">
        <v>137</v>
      </c>
      <c r="Q30" s="9" t="n">
        <v>0</v>
      </c>
    </row>
    <row r="31" customFormat="false" ht="15" hidden="false" customHeight="true" outlineLevel="0" collapsed="false">
      <c r="A31" s="9" t="s">
        <v>167</v>
      </c>
      <c r="B31" s="9" t="s">
        <v>88</v>
      </c>
      <c r="C31" s="9" t="n">
        <v>1</v>
      </c>
      <c r="D31" s="9" t="n">
        <v>105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137</v>
      </c>
      <c r="Q31" s="9" t="n">
        <v>0</v>
      </c>
    </row>
    <row r="32" customFormat="false" ht="15" hidden="false" customHeight="true" outlineLevel="0" collapsed="false">
      <c r="A32" s="9" t="s">
        <v>168</v>
      </c>
      <c r="B32" s="9" t="s">
        <v>88</v>
      </c>
      <c r="C32" s="9" t="n">
        <v>1</v>
      </c>
      <c r="D32" s="9" t="n">
        <v>105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 t="s">
        <v>137</v>
      </c>
      <c r="Q32" s="9" t="n">
        <v>0</v>
      </c>
    </row>
    <row r="33" customFormat="false" ht="15" hidden="false" customHeight="true" outlineLevel="0" collapsed="false">
      <c r="A33" s="9" t="s">
        <v>169</v>
      </c>
      <c r="B33" s="9" t="s">
        <v>88</v>
      </c>
      <c r="C33" s="9" t="n">
        <v>1</v>
      </c>
      <c r="D33" s="9" t="n">
        <v>105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137</v>
      </c>
      <c r="Q33" s="9" t="n">
        <v>0</v>
      </c>
    </row>
    <row r="34" customFormat="false" ht="15" hidden="false" customHeight="true" outlineLevel="0" collapsed="false">
      <c r="A34" s="9" t="s">
        <v>170</v>
      </c>
      <c r="B34" s="9" t="s">
        <v>88</v>
      </c>
      <c r="C34" s="9" t="n">
        <v>1</v>
      </c>
      <c r="D34" s="9" t="n">
        <v>105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 t="s">
        <v>137</v>
      </c>
      <c r="Q34" s="9" t="n">
        <v>0</v>
      </c>
    </row>
    <row r="35" customFormat="false" ht="15" hidden="false" customHeight="true" outlineLevel="0" collapsed="false">
      <c r="A35" s="9" t="s">
        <v>171</v>
      </c>
      <c r="B35" s="9" t="s">
        <v>88</v>
      </c>
      <c r="C35" s="9" t="n">
        <v>1</v>
      </c>
      <c r="D35" s="9" t="n">
        <v>105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137</v>
      </c>
      <c r="Q35" s="9" t="n">
        <v>0</v>
      </c>
    </row>
    <row r="36" customFormat="false" ht="15" hidden="false" customHeight="true" outlineLevel="0" collapsed="false">
      <c r="A36" s="9" t="s">
        <v>172</v>
      </c>
      <c r="B36" s="9" t="s">
        <v>90</v>
      </c>
      <c r="C36" s="9" t="n">
        <v>1</v>
      </c>
      <c r="D36" s="9" t="n">
        <v>77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 t="s">
        <v>137</v>
      </c>
      <c r="Q36" s="9" t="n">
        <v>0</v>
      </c>
    </row>
    <row r="37" customFormat="false" ht="15" hidden="false" customHeight="true" outlineLevel="0" collapsed="false">
      <c r="A37" s="9" t="s">
        <v>173</v>
      </c>
      <c r="B37" s="9" t="s">
        <v>90</v>
      </c>
      <c r="C37" s="9" t="n">
        <v>1</v>
      </c>
      <c r="D37" s="9" t="n">
        <v>5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137</v>
      </c>
      <c r="Q37" s="9" t="n">
        <v>0</v>
      </c>
    </row>
    <row r="38" customFormat="false" ht="15" hidden="false" customHeight="true" outlineLevel="0" collapsed="false">
      <c r="A38" s="9" t="s">
        <v>174</v>
      </c>
      <c r="B38" s="9" t="s">
        <v>90</v>
      </c>
      <c r="C38" s="9" t="n">
        <v>1</v>
      </c>
      <c r="D38" s="9" t="n">
        <v>1577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 t="s">
        <v>137</v>
      </c>
      <c r="Q38" s="9" t="n">
        <v>0</v>
      </c>
    </row>
    <row r="39" customFormat="false" ht="15" hidden="false" customHeight="true" outlineLevel="0" collapsed="false">
      <c r="A39" s="9" t="s">
        <v>175</v>
      </c>
      <c r="B39" s="9" t="s">
        <v>90</v>
      </c>
      <c r="C39" s="9" t="n">
        <v>1</v>
      </c>
      <c r="D39" s="9" t="n">
        <v>135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137</v>
      </c>
      <c r="Q39" s="9" t="n">
        <v>0</v>
      </c>
    </row>
    <row r="40" customFormat="false" ht="15" hidden="false" customHeight="true" outlineLevel="0" collapsed="false">
      <c r="A40" s="9" t="s">
        <v>176</v>
      </c>
      <c r="B40" s="9" t="s">
        <v>90</v>
      </c>
      <c r="C40" s="9" t="n">
        <v>1</v>
      </c>
      <c r="D40" s="9" t="n">
        <v>1391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 t="s">
        <v>137</v>
      </c>
      <c r="Q40" s="9" t="n">
        <v>0</v>
      </c>
    </row>
    <row r="41" customFormat="false" ht="15" hidden="false" customHeight="true" outlineLevel="0" collapsed="false">
      <c r="A41" s="9" t="s">
        <v>177</v>
      </c>
      <c r="B41" s="9" t="s">
        <v>90</v>
      </c>
      <c r="C41" s="9" t="n">
        <v>1</v>
      </c>
      <c r="D41" s="9" t="n">
        <v>135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">
        <v>137</v>
      </c>
      <c r="Q41" s="9" t="n">
        <v>0</v>
      </c>
    </row>
    <row r="42" customFormat="false" ht="15" hidden="false" customHeight="true" outlineLevel="0" collapsed="false">
      <c r="A42" s="9" t="s">
        <v>178</v>
      </c>
      <c r="B42" s="9" t="s">
        <v>90</v>
      </c>
      <c r="C42" s="9" t="n">
        <v>1</v>
      </c>
      <c r="D42" s="9" t="n">
        <v>5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 t="s">
        <v>137</v>
      </c>
      <c r="Q42" s="9" t="n">
        <v>0</v>
      </c>
    </row>
    <row r="43" customFormat="false" ht="15" hidden="false" customHeight="true" outlineLevel="0" collapsed="false">
      <c r="A43" s="9" t="s">
        <v>179</v>
      </c>
      <c r="B43" s="9" t="s">
        <v>90</v>
      </c>
      <c r="C43" s="9" t="n">
        <v>1</v>
      </c>
      <c r="D43" s="9" t="n">
        <v>135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 t="s">
        <v>137</v>
      </c>
      <c r="Q43" s="9" t="n">
        <v>0</v>
      </c>
    </row>
    <row r="44" customFormat="false" ht="15" hidden="false" customHeight="true" outlineLevel="0" collapsed="false">
      <c r="A44" s="9" t="s">
        <v>180</v>
      </c>
      <c r="B44" s="9" t="s">
        <v>90</v>
      </c>
      <c r="C44" s="9" t="n">
        <v>1</v>
      </c>
      <c r="D44" s="9" t="n">
        <v>494</v>
      </c>
      <c r="E44" s="9"/>
      <c r="F44" s="9"/>
      <c r="G44" s="9"/>
      <c r="H44" s="9"/>
      <c r="I44" s="9"/>
      <c r="J44" s="9"/>
      <c r="K44" s="9"/>
      <c r="L44" s="9" t="s">
        <v>44</v>
      </c>
      <c r="M44" s="9"/>
      <c r="N44" s="9"/>
      <c r="O44" s="9"/>
      <c r="P44" s="9" t="s">
        <v>146</v>
      </c>
      <c r="Q44" s="9" t="n">
        <v>1</v>
      </c>
    </row>
    <row r="45" customFormat="false" ht="15" hidden="false" customHeight="true" outlineLevel="0" collapsed="false">
      <c r="A45" s="9" t="s">
        <v>181</v>
      </c>
      <c r="B45" s="9" t="s">
        <v>89</v>
      </c>
      <c r="C45" s="9" t="n">
        <v>1</v>
      </c>
      <c r="D45" s="9" t="n">
        <v>105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 t="s">
        <v>137</v>
      </c>
      <c r="Q45" s="9" t="n">
        <v>0</v>
      </c>
    </row>
    <row r="46" customFormat="false" ht="15" hidden="false" customHeight="true" outlineLevel="0" collapsed="false">
      <c r="A46" s="9" t="s">
        <v>182</v>
      </c>
      <c r="B46" s="9" t="s">
        <v>89</v>
      </c>
      <c r="C46" s="9" t="n">
        <v>1</v>
      </c>
      <c r="D46" s="9" t="n">
        <v>105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 t="s">
        <v>137</v>
      </c>
      <c r="Q46" s="9" t="n">
        <v>0</v>
      </c>
    </row>
    <row r="47" customFormat="false" ht="15" hidden="false" customHeight="true" outlineLevel="0" collapsed="false">
      <c r="A47" s="9" t="s">
        <v>183</v>
      </c>
      <c r="B47" s="9" t="s">
        <v>89</v>
      </c>
      <c r="C47" s="9" t="n">
        <v>1</v>
      </c>
      <c r="D47" s="9" t="n">
        <v>105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 t="s">
        <v>137</v>
      </c>
      <c r="Q47" s="9" t="n">
        <v>0</v>
      </c>
    </row>
    <row r="48" customFormat="false" ht="15" hidden="false" customHeight="true" outlineLevel="0" collapsed="false">
      <c r="A48" s="9" t="s">
        <v>184</v>
      </c>
      <c r="B48" s="9" t="s">
        <v>89</v>
      </c>
      <c r="C48" s="9" t="n">
        <v>1</v>
      </c>
      <c r="D48" s="9" t="n">
        <v>105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 t="s">
        <v>137</v>
      </c>
      <c r="Q48" s="9" t="n">
        <v>0</v>
      </c>
    </row>
    <row r="49" customFormat="false" ht="15" hidden="false" customHeight="true" outlineLevel="0" collapsed="false">
      <c r="A49" s="9" t="s">
        <v>185</v>
      </c>
      <c r="B49" s="9" t="s">
        <v>89</v>
      </c>
      <c r="C49" s="9" t="n">
        <v>1</v>
      </c>
      <c r="D49" s="9" t="n">
        <v>105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 t="s">
        <v>137</v>
      </c>
      <c r="Q49" s="9" t="n">
        <v>0</v>
      </c>
    </row>
    <row r="50" customFormat="false" ht="15" hidden="false" customHeight="true" outlineLevel="0" collapsed="false">
      <c r="A50" s="9" t="s">
        <v>186</v>
      </c>
      <c r="B50" s="9" t="s">
        <v>89</v>
      </c>
      <c r="C50" s="9" t="n">
        <v>1</v>
      </c>
      <c r="D50" s="9" t="n">
        <v>105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 t="s">
        <v>137</v>
      </c>
      <c r="Q50" s="9" t="n">
        <v>0</v>
      </c>
    </row>
    <row r="51" customFormat="false" ht="15" hidden="false" customHeight="true" outlineLevel="0" collapsed="false">
      <c r="A51" s="9" t="s">
        <v>187</v>
      </c>
      <c r="B51" s="9" t="s">
        <v>89</v>
      </c>
      <c r="C51" s="9" t="n">
        <v>1</v>
      </c>
      <c r="D51" s="9" t="n">
        <v>105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 t="s">
        <v>137</v>
      </c>
      <c r="Q51" s="9" t="n">
        <v>0</v>
      </c>
    </row>
    <row r="52" customFormat="false" ht="15" hidden="false" customHeight="true" outlineLevel="0" collapsed="false">
      <c r="A52" s="9" t="s">
        <v>188</v>
      </c>
      <c r="B52" s="9" t="s">
        <v>89</v>
      </c>
      <c r="C52" s="9" t="n">
        <v>1</v>
      </c>
      <c r="D52" s="9" t="n">
        <v>105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 t="s">
        <v>137</v>
      </c>
      <c r="Q52" s="9" t="n">
        <v>0</v>
      </c>
    </row>
    <row r="53" customFormat="false" ht="15" hidden="false" customHeight="true" outlineLevel="0" collapsed="false">
      <c r="A53" s="9" t="s">
        <v>189</v>
      </c>
      <c r="B53" s="9" t="s">
        <v>89</v>
      </c>
      <c r="C53" s="9" t="n">
        <v>1</v>
      </c>
      <c r="D53" s="9" t="n">
        <v>105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 t="s">
        <v>137</v>
      </c>
      <c r="Q53" s="9" t="n">
        <v>0</v>
      </c>
    </row>
    <row r="54" customFormat="false" ht="15" hidden="false" customHeight="true" outlineLevel="0" collapsed="false">
      <c r="A54" s="9" t="s">
        <v>190</v>
      </c>
      <c r="B54" s="9" t="s">
        <v>89</v>
      </c>
      <c r="C54" s="9" t="n">
        <v>1</v>
      </c>
      <c r="D54" s="9" t="n">
        <v>105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 t="s">
        <v>137</v>
      </c>
      <c r="Q54" s="9" t="n">
        <v>0</v>
      </c>
    </row>
    <row r="55" customFormat="false" ht="15" hidden="false" customHeight="true" outlineLevel="0" collapsed="false">
      <c r="A55" s="9" t="s">
        <v>191</v>
      </c>
      <c r="B55" s="9" t="s">
        <v>89</v>
      </c>
      <c r="C55" s="9" t="n">
        <v>1</v>
      </c>
      <c r="D55" s="9" t="n">
        <v>105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 t="s">
        <v>137</v>
      </c>
      <c r="Q55" s="9" t="n">
        <v>0</v>
      </c>
    </row>
    <row r="56" customFormat="false" ht="15" hidden="false" customHeight="true" outlineLevel="0" collapsed="false">
      <c r="A56" s="9" t="s">
        <v>192</v>
      </c>
      <c r="B56" s="9" t="s">
        <v>89</v>
      </c>
      <c r="C56" s="9" t="n">
        <v>1</v>
      </c>
      <c r="D56" s="9" t="n">
        <v>105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 t="s">
        <v>137</v>
      </c>
      <c r="Q56" s="9" t="n">
        <v>0</v>
      </c>
    </row>
    <row r="57" customFormat="false" ht="15" hidden="false" customHeight="true" outlineLevel="0" collapsed="false">
      <c r="A57" s="9" t="s">
        <v>193</v>
      </c>
      <c r="B57" s="9" t="s">
        <v>91</v>
      </c>
      <c r="C57" s="9" t="n">
        <v>1</v>
      </c>
      <c r="D57" s="9" t="n">
        <v>135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 t="s">
        <v>137</v>
      </c>
      <c r="Q57" s="9" t="n">
        <v>0</v>
      </c>
    </row>
    <row r="58" customFormat="false" ht="15" hidden="false" customHeight="true" outlineLevel="0" collapsed="false">
      <c r="A58" s="9" t="s">
        <v>194</v>
      </c>
      <c r="B58" s="9" t="s">
        <v>91</v>
      </c>
      <c r="C58" s="9" t="n">
        <v>1</v>
      </c>
      <c r="D58" s="9" t="n">
        <v>77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 t="s">
        <v>137</v>
      </c>
      <c r="Q58" s="9" t="n">
        <v>0</v>
      </c>
    </row>
    <row r="59" customFormat="false" ht="15" hidden="false" customHeight="true" outlineLevel="0" collapsed="false">
      <c r="A59" s="9" t="s">
        <v>195</v>
      </c>
      <c r="B59" s="9" t="s">
        <v>91</v>
      </c>
      <c r="C59" s="9" t="n">
        <v>1</v>
      </c>
      <c r="D59" s="9" t="n">
        <v>1578</v>
      </c>
      <c r="E59" s="9"/>
      <c r="F59" s="9"/>
      <c r="G59" s="9"/>
      <c r="H59" s="9"/>
      <c r="I59" s="9"/>
      <c r="J59" s="9"/>
      <c r="K59" s="9"/>
      <c r="L59" s="9" t="s">
        <v>44</v>
      </c>
      <c r="M59" s="9"/>
      <c r="N59" s="9"/>
      <c r="O59" s="9"/>
      <c r="P59" s="9" t="s">
        <v>146</v>
      </c>
      <c r="Q59" s="9" t="n">
        <v>1</v>
      </c>
    </row>
    <row r="60" customFormat="false" ht="15" hidden="false" customHeight="true" outlineLevel="0" collapsed="false">
      <c r="A60" s="9" t="s">
        <v>196</v>
      </c>
      <c r="B60" s="9" t="s">
        <v>91</v>
      </c>
      <c r="C60" s="9" t="n">
        <v>1</v>
      </c>
      <c r="D60" s="9" t="n">
        <v>135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 t="s">
        <v>137</v>
      </c>
      <c r="Q60" s="9" t="n">
        <v>0</v>
      </c>
    </row>
    <row r="61" customFormat="false" ht="15" hidden="false" customHeight="true" outlineLevel="0" collapsed="false">
      <c r="A61" s="9" t="s">
        <v>197</v>
      </c>
      <c r="B61" s="9" t="s">
        <v>91</v>
      </c>
      <c r="C61" s="9" t="n">
        <v>1</v>
      </c>
      <c r="D61" s="9" t="n">
        <v>1392</v>
      </c>
      <c r="E61" s="9"/>
      <c r="F61" s="9"/>
      <c r="G61" s="9"/>
      <c r="H61" s="9"/>
      <c r="I61" s="9"/>
      <c r="J61" s="9"/>
      <c r="K61" s="9"/>
      <c r="L61" s="9" t="s">
        <v>44</v>
      </c>
      <c r="M61" s="9"/>
      <c r="N61" s="9"/>
      <c r="O61" s="9"/>
      <c r="P61" s="9" t="s">
        <v>146</v>
      </c>
      <c r="Q61" s="9" t="n">
        <v>1</v>
      </c>
    </row>
    <row r="62" customFormat="false" ht="15" hidden="false" customHeight="true" outlineLevel="0" collapsed="false">
      <c r="A62" s="9" t="s">
        <v>198</v>
      </c>
      <c r="B62" s="9" t="s">
        <v>91</v>
      </c>
      <c r="C62" s="9" t="n">
        <v>1</v>
      </c>
      <c r="D62" s="9" t="n">
        <v>5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 t="s">
        <v>137</v>
      </c>
      <c r="Q62" s="9" t="n">
        <v>0</v>
      </c>
    </row>
    <row r="63" customFormat="false" ht="15" hidden="false" customHeight="true" outlineLevel="0" collapsed="false">
      <c r="A63" s="9" t="s">
        <v>199</v>
      </c>
      <c r="B63" s="9" t="s">
        <v>91</v>
      </c>
      <c r="C63" s="9" t="n">
        <v>1</v>
      </c>
      <c r="D63" s="9" t="n">
        <v>135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 t="s">
        <v>137</v>
      </c>
      <c r="Q63" s="9" t="n">
        <v>0</v>
      </c>
    </row>
    <row r="64" customFormat="false" ht="15" hidden="false" customHeight="true" outlineLevel="0" collapsed="false">
      <c r="A64" s="9" t="s">
        <v>200</v>
      </c>
      <c r="B64" s="9" t="s">
        <v>91</v>
      </c>
      <c r="C64" s="9" t="n">
        <v>1</v>
      </c>
      <c r="D64" s="9" t="n">
        <v>135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 t="s">
        <v>137</v>
      </c>
      <c r="Q64" s="9" t="n">
        <v>0</v>
      </c>
    </row>
    <row r="65" customFormat="false" ht="15" hidden="false" customHeight="true" outlineLevel="0" collapsed="false">
      <c r="A65" s="9" t="s">
        <v>201</v>
      </c>
      <c r="B65" s="9" t="s">
        <v>92</v>
      </c>
      <c r="C65" s="9" t="n">
        <v>1</v>
      </c>
      <c r="D65" s="9" t="n">
        <v>105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 t="s">
        <v>137</v>
      </c>
      <c r="Q65" s="9" t="n">
        <v>0</v>
      </c>
    </row>
    <row r="66" customFormat="false" ht="15" hidden="false" customHeight="true" outlineLevel="0" collapsed="false">
      <c r="A66" s="9" t="s">
        <v>202</v>
      </c>
      <c r="B66" s="9" t="s">
        <v>92</v>
      </c>
      <c r="C66" s="9" t="n">
        <v>1</v>
      </c>
      <c r="D66" s="9" t="n">
        <v>105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s">
        <v>137</v>
      </c>
      <c r="Q66" s="9" t="n">
        <v>0</v>
      </c>
    </row>
    <row r="67" customFormat="false" ht="15" hidden="false" customHeight="true" outlineLevel="0" collapsed="false">
      <c r="A67" s="9" t="s">
        <v>203</v>
      </c>
      <c r="B67" s="9" t="s">
        <v>92</v>
      </c>
      <c r="C67" s="9" t="n">
        <v>1</v>
      </c>
      <c r="D67" s="9" t="n">
        <v>105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 t="s">
        <v>137</v>
      </c>
      <c r="Q67" s="9" t="n">
        <v>0</v>
      </c>
    </row>
    <row r="68" customFormat="false" ht="15" hidden="false" customHeight="true" outlineLevel="0" collapsed="false">
      <c r="A68" s="9" t="s">
        <v>204</v>
      </c>
      <c r="B68" s="9" t="s">
        <v>92</v>
      </c>
      <c r="C68" s="9" t="n">
        <v>1</v>
      </c>
      <c r="D68" s="9" t="n">
        <v>105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 t="s">
        <v>137</v>
      </c>
      <c r="Q68" s="9" t="n">
        <v>0</v>
      </c>
    </row>
    <row r="69" customFormat="false" ht="15" hidden="false" customHeight="true" outlineLevel="0" collapsed="false">
      <c r="A69" s="9" t="s">
        <v>205</v>
      </c>
      <c r="B69" s="9" t="s">
        <v>92</v>
      </c>
      <c r="C69" s="9" t="n">
        <v>1</v>
      </c>
      <c r="D69" s="9" t="n">
        <v>105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 t="s">
        <v>137</v>
      </c>
      <c r="Q69" s="9" t="n">
        <v>0</v>
      </c>
    </row>
    <row r="70" customFormat="false" ht="15" hidden="false" customHeight="true" outlineLevel="0" collapsed="false">
      <c r="A70" s="9" t="s">
        <v>206</v>
      </c>
      <c r="B70" s="9" t="s">
        <v>92</v>
      </c>
      <c r="C70" s="9" t="n">
        <v>1</v>
      </c>
      <c r="D70" s="9" t="n">
        <v>105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 t="s">
        <v>137</v>
      </c>
      <c r="Q70" s="9" t="n">
        <v>0</v>
      </c>
    </row>
    <row r="71" customFormat="false" ht="15" hidden="false" customHeight="true" outlineLevel="0" collapsed="false">
      <c r="A71" s="9" t="s">
        <v>207</v>
      </c>
      <c r="B71" s="9" t="s">
        <v>92</v>
      </c>
      <c r="C71" s="9" t="n">
        <v>1</v>
      </c>
      <c r="D71" s="9" t="n">
        <v>105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 t="s">
        <v>137</v>
      </c>
      <c r="Q71" s="9" t="n">
        <v>0</v>
      </c>
    </row>
    <row r="72" customFormat="false" ht="15" hidden="false" customHeight="true" outlineLevel="0" collapsed="false">
      <c r="A72" s="9" t="s">
        <v>208</v>
      </c>
      <c r="B72" s="9" t="s">
        <v>92</v>
      </c>
      <c r="C72" s="9" t="n">
        <v>1</v>
      </c>
      <c r="D72" s="9" t="n">
        <v>105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 t="s">
        <v>137</v>
      </c>
      <c r="Q72" s="9" t="n">
        <v>0</v>
      </c>
    </row>
    <row r="73" customFormat="false" ht="15" hidden="false" customHeight="true" outlineLevel="0" collapsed="false">
      <c r="A73" s="9" t="s">
        <v>209</v>
      </c>
      <c r="B73" s="9" t="s">
        <v>92</v>
      </c>
      <c r="C73" s="9" t="n">
        <v>1</v>
      </c>
      <c r="D73" s="9" t="n">
        <v>105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 t="s">
        <v>137</v>
      </c>
      <c r="Q73" s="9" t="n">
        <v>0</v>
      </c>
    </row>
    <row r="74" customFormat="false" ht="15" hidden="false" customHeight="true" outlineLevel="0" collapsed="false">
      <c r="A74" s="9" t="s">
        <v>210</v>
      </c>
      <c r="B74" s="9" t="s">
        <v>92</v>
      </c>
      <c r="C74" s="9" t="n">
        <v>1</v>
      </c>
      <c r="D74" s="9" t="n">
        <v>105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 t="s">
        <v>137</v>
      </c>
      <c r="Q74" s="9" t="n">
        <v>0</v>
      </c>
    </row>
    <row r="75" customFormat="false" ht="15" hidden="false" customHeight="true" outlineLevel="0" collapsed="false">
      <c r="A75" s="9" t="s">
        <v>211</v>
      </c>
      <c r="B75" s="9" t="s">
        <v>92</v>
      </c>
      <c r="C75" s="9" t="n">
        <v>1</v>
      </c>
      <c r="D75" s="9" t="n">
        <v>105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 t="s">
        <v>137</v>
      </c>
      <c r="Q75" s="9" t="n">
        <v>0</v>
      </c>
    </row>
    <row r="76" customFormat="false" ht="15" hidden="false" customHeight="true" outlineLevel="0" collapsed="false">
      <c r="A76" s="9" t="s">
        <v>212</v>
      </c>
      <c r="B76" s="9" t="s">
        <v>92</v>
      </c>
      <c r="C76" s="9" t="n">
        <v>1</v>
      </c>
      <c r="D76" s="9" t="n">
        <v>105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 t="s">
        <v>137</v>
      </c>
      <c r="Q76" s="9" t="n">
        <v>0</v>
      </c>
    </row>
    <row r="77" customFormat="false" ht="15" hidden="false" customHeight="true" outlineLevel="0" collapsed="false">
      <c r="A77" s="9" t="s">
        <v>213</v>
      </c>
      <c r="B77" s="9" t="s">
        <v>92</v>
      </c>
      <c r="C77" s="9" t="n">
        <v>1</v>
      </c>
      <c r="D77" s="9" t="n">
        <v>105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 t="s">
        <v>137</v>
      </c>
      <c r="Q77" s="9" t="n">
        <v>0</v>
      </c>
    </row>
    <row r="78" customFormat="false" ht="15" hidden="false" customHeight="true" outlineLevel="0" collapsed="false">
      <c r="A78" s="9" t="s">
        <v>214</v>
      </c>
      <c r="B78" s="9" t="s">
        <v>92</v>
      </c>
      <c r="C78" s="9" t="n">
        <v>1</v>
      </c>
      <c r="D78" s="9" t="n">
        <v>105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 t="s">
        <v>137</v>
      </c>
      <c r="Q78" s="9" t="n">
        <v>0</v>
      </c>
    </row>
    <row r="79" customFormat="false" ht="15" hidden="false" customHeight="true" outlineLevel="0" collapsed="false">
      <c r="A79" s="9" t="s">
        <v>215</v>
      </c>
      <c r="B79" s="9" t="s">
        <v>92</v>
      </c>
      <c r="C79" s="9" t="n">
        <v>1</v>
      </c>
      <c r="D79" s="9" t="n">
        <v>105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 t="s">
        <v>137</v>
      </c>
      <c r="Q79" s="9" t="n">
        <v>0</v>
      </c>
    </row>
    <row r="80" customFormat="false" ht="15" hidden="false" customHeight="true" outlineLevel="0" collapsed="false">
      <c r="A80" s="9" t="s">
        <v>216</v>
      </c>
      <c r="B80" s="9" t="s">
        <v>92</v>
      </c>
      <c r="C80" s="9" t="n">
        <v>1</v>
      </c>
      <c r="D80" s="9" t="n">
        <v>105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 t="s">
        <v>137</v>
      </c>
      <c r="Q80" s="9" t="n">
        <v>0</v>
      </c>
    </row>
    <row r="81" customFormat="false" ht="15" hidden="false" customHeight="true" outlineLevel="0" collapsed="false">
      <c r="A81" s="9" t="s">
        <v>217</v>
      </c>
      <c r="B81" s="9" t="s">
        <v>94</v>
      </c>
      <c r="C81" s="9" t="n">
        <v>1</v>
      </c>
      <c r="D81" s="9" t="n">
        <v>77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 t="s">
        <v>137</v>
      </c>
      <c r="Q81" s="9" t="n">
        <v>0</v>
      </c>
    </row>
    <row r="82" customFormat="false" ht="15" hidden="false" customHeight="true" outlineLevel="0" collapsed="false">
      <c r="A82" s="9" t="s">
        <v>218</v>
      </c>
      <c r="B82" s="9" t="s">
        <v>94</v>
      </c>
      <c r="C82" s="9" t="n">
        <v>1</v>
      </c>
      <c r="D82" s="9" t="n">
        <v>1577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 t="s">
        <v>137</v>
      </c>
      <c r="Q82" s="9" t="n">
        <v>0</v>
      </c>
    </row>
    <row r="83" customFormat="false" ht="15" hidden="false" customHeight="true" outlineLevel="0" collapsed="false">
      <c r="A83" s="9" t="s">
        <v>219</v>
      </c>
      <c r="B83" s="9" t="s">
        <v>94</v>
      </c>
      <c r="C83" s="9" t="n">
        <v>1</v>
      </c>
      <c r="D83" s="9" t="n">
        <v>135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 t="s">
        <v>137</v>
      </c>
      <c r="Q83" s="9" t="n">
        <v>0</v>
      </c>
    </row>
    <row r="84" customFormat="false" ht="15" hidden="false" customHeight="true" outlineLevel="0" collapsed="false">
      <c r="A84" s="9" t="s">
        <v>220</v>
      </c>
      <c r="B84" s="9" t="s">
        <v>94</v>
      </c>
      <c r="C84" s="9" t="n">
        <v>1</v>
      </c>
      <c r="D84" s="9" t="n">
        <v>1391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 t="s">
        <v>137</v>
      </c>
      <c r="Q84" s="9" t="n">
        <v>0</v>
      </c>
    </row>
    <row r="85" customFormat="false" ht="15" hidden="false" customHeight="true" outlineLevel="0" collapsed="false">
      <c r="A85" s="9" t="s">
        <v>221</v>
      </c>
      <c r="B85" s="9" t="s">
        <v>94</v>
      </c>
      <c r="C85" s="9" t="n">
        <v>1</v>
      </c>
      <c r="D85" s="9" t="n">
        <v>135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 t="s">
        <v>137</v>
      </c>
      <c r="Q85" s="9" t="n">
        <v>0</v>
      </c>
    </row>
    <row r="86" customFormat="false" ht="15" hidden="false" customHeight="true" outlineLevel="0" collapsed="false">
      <c r="A86" s="9" t="s">
        <v>222</v>
      </c>
      <c r="B86" s="9" t="s">
        <v>94</v>
      </c>
      <c r="C86" s="9" t="n">
        <v>1</v>
      </c>
      <c r="D86" s="9" t="n">
        <v>5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 t="s">
        <v>137</v>
      </c>
      <c r="Q86" s="9" t="n">
        <v>0</v>
      </c>
    </row>
    <row r="87" customFormat="false" ht="15" hidden="false" customHeight="true" outlineLevel="0" collapsed="false">
      <c r="A87" s="9" t="s">
        <v>223</v>
      </c>
      <c r="B87" s="9" t="s">
        <v>94</v>
      </c>
      <c r="C87" s="9" t="n">
        <v>1</v>
      </c>
      <c r="D87" s="9" t="n">
        <v>135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 t="s">
        <v>137</v>
      </c>
      <c r="Q87" s="9" t="n">
        <v>0</v>
      </c>
    </row>
    <row r="88" customFormat="false" ht="15" hidden="false" customHeight="true" outlineLevel="0" collapsed="false">
      <c r="A88" s="9" t="s">
        <v>224</v>
      </c>
      <c r="B88" s="9" t="s">
        <v>94</v>
      </c>
      <c r="C88" s="9" t="n">
        <v>1</v>
      </c>
      <c r="D88" s="9" t="n">
        <v>494</v>
      </c>
      <c r="E88" s="9"/>
      <c r="F88" s="9"/>
      <c r="G88" s="9"/>
      <c r="H88" s="9"/>
      <c r="I88" s="9"/>
      <c r="J88" s="9"/>
      <c r="K88" s="9"/>
      <c r="L88" s="9" t="s">
        <v>44</v>
      </c>
      <c r="M88" s="9"/>
      <c r="N88" s="9"/>
      <c r="O88" s="9"/>
      <c r="P88" s="9" t="s">
        <v>146</v>
      </c>
      <c r="Q88" s="9" t="n">
        <v>1</v>
      </c>
    </row>
    <row r="89" customFormat="false" ht="15" hidden="false" customHeight="true" outlineLevel="0" collapsed="false">
      <c r="A89" s="9" t="s">
        <v>225</v>
      </c>
      <c r="B89" s="9" t="s">
        <v>94</v>
      </c>
      <c r="C89" s="9" t="n">
        <v>1</v>
      </c>
      <c r="D89" s="9" t="n">
        <v>5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 t="s">
        <v>137</v>
      </c>
      <c r="Q89" s="9" t="n">
        <v>0</v>
      </c>
    </row>
    <row r="90" customFormat="false" ht="15" hidden="false" customHeight="true" outlineLevel="0" collapsed="false">
      <c r="A90" s="9" t="s">
        <v>226</v>
      </c>
      <c r="B90" s="9" t="s">
        <v>93</v>
      </c>
      <c r="C90" s="9" t="n">
        <v>1</v>
      </c>
      <c r="D90" s="9" t="n">
        <v>135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 t="s">
        <v>137</v>
      </c>
      <c r="Q90" s="9" t="n">
        <v>0</v>
      </c>
    </row>
    <row r="91" customFormat="false" ht="15" hidden="false" customHeight="true" outlineLevel="0" collapsed="false">
      <c r="A91" s="9" t="s">
        <v>227</v>
      </c>
      <c r="B91" s="9" t="s">
        <v>93</v>
      </c>
      <c r="C91" s="9" t="n">
        <v>1</v>
      </c>
      <c r="D91" s="9" t="n">
        <v>77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 t="s">
        <v>137</v>
      </c>
      <c r="Q91" s="9" t="n">
        <v>0</v>
      </c>
    </row>
    <row r="92" customFormat="false" ht="15" hidden="false" customHeight="true" outlineLevel="0" collapsed="false">
      <c r="A92" s="9" t="s">
        <v>228</v>
      </c>
      <c r="B92" s="9" t="s">
        <v>93</v>
      </c>
      <c r="C92" s="9" t="n">
        <v>1</v>
      </c>
      <c r="D92" s="9" t="n">
        <v>5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 t="s">
        <v>137</v>
      </c>
      <c r="Q92" s="9" t="n">
        <v>0</v>
      </c>
    </row>
    <row r="93" customFormat="false" ht="15" hidden="false" customHeight="true" outlineLevel="0" collapsed="false">
      <c r="A93" s="9" t="s">
        <v>229</v>
      </c>
      <c r="B93" s="9" t="s">
        <v>93</v>
      </c>
      <c r="C93" s="9" t="n">
        <v>1</v>
      </c>
      <c r="D93" s="9" t="n">
        <v>1577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 t="s">
        <v>137</v>
      </c>
      <c r="Q93" s="9" t="n">
        <v>0</v>
      </c>
    </row>
    <row r="94" customFormat="false" ht="15" hidden="false" customHeight="true" outlineLevel="0" collapsed="false">
      <c r="A94" s="9" t="s">
        <v>230</v>
      </c>
      <c r="B94" s="9" t="s">
        <v>93</v>
      </c>
      <c r="C94" s="9" t="n">
        <v>1</v>
      </c>
      <c r="D94" s="9" t="n">
        <v>135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 t="s">
        <v>137</v>
      </c>
      <c r="Q94" s="9" t="n">
        <v>0</v>
      </c>
    </row>
    <row r="95" customFormat="false" ht="15" hidden="false" customHeight="true" outlineLevel="0" collapsed="false">
      <c r="A95" s="9" t="s">
        <v>231</v>
      </c>
      <c r="B95" s="9" t="s">
        <v>93</v>
      </c>
      <c r="C95" s="9" t="n">
        <v>1</v>
      </c>
      <c r="D95" s="9" t="n">
        <v>1391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 t="s">
        <v>137</v>
      </c>
      <c r="Q95" s="9" t="n">
        <v>0</v>
      </c>
    </row>
    <row r="96" customFormat="false" ht="15" hidden="false" customHeight="true" outlineLevel="0" collapsed="false">
      <c r="A96" s="9" t="s">
        <v>232</v>
      </c>
      <c r="B96" s="9" t="s">
        <v>93</v>
      </c>
      <c r="C96" s="9" t="n">
        <v>1</v>
      </c>
      <c r="D96" s="9" t="n">
        <v>135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 t="s">
        <v>137</v>
      </c>
      <c r="Q96" s="9" t="n">
        <v>0</v>
      </c>
    </row>
    <row r="97" customFormat="false" ht="15" hidden="false" customHeight="true" outlineLevel="0" collapsed="false">
      <c r="A97" s="9" t="s">
        <v>233</v>
      </c>
      <c r="B97" s="9" t="s">
        <v>93</v>
      </c>
      <c r="C97" s="9" t="n">
        <v>1</v>
      </c>
      <c r="D97" s="9" t="n">
        <v>5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 t="s">
        <v>137</v>
      </c>
      <c r="Q97" s="9" t="n">
        <v>0</v>
      </c>
    </row>
    <row r="98" customFormat="false" ht="15" hidden="false" customHeight="true" outlineLevel="0" collapsed="false">
      <c r="A98" s="9" t="s">
        <v>234</v>
      </c>
      <c r="B98" s="9" t="s">
        <v>93</v>
      </c>
      <c r="C98" s="9" t="n">
        <v>1</v>
      </c>
      <c r="D98" s="9" t="n">
        <v>494</v>
      </c>
      <c r="E98" s="9"/>
      <c r="F98" s="9"/>
      <c r="G98" s="9"/>
      <c r="H98" s="9"/>
      <c r="I98" s="9"/>
      <c r="J98" s="9"/>
      <c r="K98" s="9"/>
      <c r="L98" s="9" t="s">
        <v>44</v>
      </c>
      <c r="M98" s="9"/>
      <c r="N98" s="9"/>
      <c r="O98" s="9"/>
      <c r="P98" s="9" t="s">
        <v>146</v>
      </c>
      <c r="Q98" s="9" t="n">
        <v>1</v>
      </c>
    </row>
    <row r="99" customFormat="false" ht="15" hidden="false" customHeight="true" outlineLevel="0" collapsed="false">
      <c r="A99" s="9" t="s">
        <v>235</v>
      </c>
      <c r="B99" s="9" t="s">
        <v>96</v>
      </c>
      <c r="C99" s="9" t="n">
        <v>1</v>
      </c>
      <c r="D99" s="9" t="n">
        <v>77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 t="s">
        <v>137</v>
      </c>
      <c r="Q99" s="9" t="n">
        <v>0</v>
      </c>
    </row>
    <row r="100" customFormat="false" ht="15" hidden="false" customHeight="true" outlineLevel="0" collapsed="false">
      <c r="A100" s="9" t="s">
        <v>236</v>
      </c>
      <c r="B100" s="9" t="s">
        <v>96</v>
      </c>
      <c r="C100" s="9" t="n">
        <v>1</v>
      </c>
      <c r="D100" s="9" t="n">
        <v>1577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 t="s">
        <v>137</v>
      </c>
      <c r="Q100" s="9" t="n">
        <v>0</v>
      </c>
    </row>
    <row r="101" customFormat="false" ht="15" hidden="false" customHeight="true" outlineLevel="0" collapsed="false">
      <c r="A101" s="9" t="s">
        <v>237</v>
      </c>
      <c r="B101" s="9" t="s">
        <v>96</v>
      </c>
      <c r="C101" s="9" t="n">
        <v>1</v>
      </c>
      <c r="D101" s="9" t="n">
        <v>135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 t="s">
        <v>137</v>
      </c>
      <c r="Q101" s="9" t="n">
        <v>0</v>
      </c>
    </row>
    <row r="102" customFormat="false" ht="15" hidden="false" customHeight="true" outlineLevel="0" collapsed="false">
      <c r="A102" s="9" t="s">
        <v>238</v>
      </c>
      <c r="B102" s="9" t="s">
        <v>96</v>
      </c>
      <c r="C102" s="9" t="n">
        <v>1</v>
      </c>
      <c r="D102" s="9" t="n">
        <v>1392</v>
      </c>
      <c r="E102" s="9"/>
      <c r="F102" s="9"/>
      <c r="G102" s="9"/>
      <c r="H102" s="9"/>
      <c r="I102" s="9"/>
      <c r="J102" s="9"/>
      <c r="K102" s="9"/>
      <c r="L102" s="9" t="s">
        <v>44</v>
      </c>
      <c r="M102" s="9"/>
      <c r="N102" s="9"/>
      <c r="O102" s="9"/>
      <c r="P102" s="9" t="s">
        <v>146</v>
      </c>
      <c r="Q102" s="9" t="n">
        <v>1</v>
      </c>
    </row>
    <row r="103" customFormat="false" ht="15" hidden="false" customHeight="true" outlineLevel="0" collapsed="false">
      <c r="A103" s="9" t="s">
        <v>239</v>
      </c>
      <c r="B103" s="9" t="s">
        <v>96</v>
      </c>
      <c r="C103" s="9" t="n">
        <v>1</v>
      </c>
      <c r="D103" s="9" t="n">
        <v>135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 t="s">
        <v>137</v>
      </c>
      <c r="Q103" s="9" t="n">
        <v>0</v>
      </c>
    </row>
    <row r="104" customFormat="false" ht="15" hidden="false" customHeight="true" outlineLevel="0" collapsed="false">
      <c r="A104" s="9" t="s">
        <v>240</v>
      </c>
      <c r="B104" s="9" t="s">
        <v>96</v>
      </c>
      <c r="C104" s="9" t="n">
        <v>1</v>
      </c>
      <c r="D104" s="9" t="n">
        <v>5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 t="s">
        <v>137</v>
      </c>
      <c r="Q104" s="9" t="n">
        <v>0</v>
      </c>
    </row>
    <row r="105" customFormat="false" ht="15" hidden="false" customHeight="true" outlineLevel="0" collapsed="false">
      <c r="A105" s="9" t="s">
        <v>241</v>
      </c>
      <c r="B105" s="9" t="s">
        <v>96</v>
      </c>
      <c r="C105" s="9" t="n">
        <v>1</v>
      </c>
      <c r="D105" s="9" t="n">
        <v>135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 t="s">
        <v>137</v>
      </c>
      <c r="Q105" s="9" t="n">
        <v>0</v>
      </c>
    </row>
    <row r="106" customFormat="false" ht="15" hidden="false" customHeight="true" outlineLevel="0" collapsed="false">
      <c r="A106" s="9" t="s">
        <v>242</v>
      </c>
      <c r="B106" s="9" t="s">
        <v>96</v>
      </c>
      <c r="C106" s="9" t="n">
        <v>1</v>
      </c>
      <c r="D106" s="9" t="n">
        <v>135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 t="s">
        <v>137</v>
      </c>
      <c r="Q106" s="9" t="n">
        <v>0</v>
      </c>
    </row>
    <row r="107" customFormat="false" ht="15" hidden="false" customHeight="true" outlineLevel="0" collapsed="false">
      <c r="A107" s="9" t="s">
        <v>243</v>
      </c>
      <c r="B107" s="9" t="s">
        <v>95</v>
      </c>
      <c r="C107" s="9" t="n">
        <v>1</v>
      </c>
      <c r="D107" s="9" t="n">
        <v>249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 t="s">
        <v>137</v>
      </c>
      <c r="Q107" s="9" t="n">
        <v>0</v>
      </c>
    </row>
    <row r="108" customFormat="false" ht="15" hidden="false" customHeight="true" outlineLevel="0" collapsed="false">
      <c r="A108" s="9" t="s">
        <v>244</v>
      </c>
      <c r="B108" s="9" t="s">
        <v>95</v>
      </c>
      <c r="C108" s="9" t="n">
        <v>1</v>
      </c>
      <c r="D108" s="9" t="n">
        <v>135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 t="s">
        <v>137</v>
      </c>
      <c r="Q108" s="9" t="n">
        <v>0</v>
      </c>
    </row>
    <row r="109" customFormat="false" ht="15" hidden="false" customHeight="true" outlineLevel="0" collapsed="false">
      <c r="A109" s="9" t="s">
        <v>245</v>
      </c>
      <c r="B109" s="9" t="s">
        <v>95</v>
      </c>
      <c r="C109" s="9" t="n">
        <v>1</v>
      </c>
      <c r="D109" s="9" t="n">
        <v>77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 t="s">
        <v>137</v>
      </c>
      <c r="Q109" s="9" t="n">
        <v>0</v>
      </c>
    </row>
    <row r="110" customFormat="false" ht="15" hidden="false" customHeight="true" outlineLevel="0" collapsed="false">
      <c r="A110" s="9" t="s">
        <v>246</v>
      </c>
      <c r="B110" s="9" t="s">
        <v>95</v>
      </c>
      <c r="C110" s="9" t="n">
        <v>1</v>
      </c>
      <c r="D110" s="9" t="n">
        <v>5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 t="s">
        <v>137</v>
      </c>
      <c r="Q110" s="9" t="n">
        <v>0</v>
      </c>
    </row>
    <row r="111" customFormat="false" ht="15" hidden="false" customHeight="true" outlineLevel="0" collapsed="false">
      <c r="A111" s="9" t="s">
        <v>247</v>
      </c>
      <c r="B111" s="9" t="s">
        <v>95</v>
      </c>
      <c r="C111" s="9" t="n">
        <v>1</v>
      </c>
      <c r="D111" s="9" t="n">
        <v>1579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 t="s">
        <v>137</v>
      </c>
      <c r="Q111" s="9" t="n">
        <v>0</v>
      </c>
    </row>
    <row r="112" customFormat="false" ht="15" hidden="false" customHeight="true" outlineLevel="0" collapsed="false">
      <c r="A112" s="9" t="s">
        <v>248</v>
      </c>
      <c r="B112" s="9" t="s">
        <v>95</v>
      </c>
      <c r="C112" s="9" t="n">
        <v>1</v>
      </c>
      <c r="D112" s="9" t="n">
        <v>135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 t="s">
        <v>137</v>
      </c>
      <c r="Q112" s="9" t="n">
        <v>0</v>
      </c>
    </row>
    <row r="113" customFormat="false" ht="15" hidden="false" customHeight="true" outlineLevel="0" collapsed="false">
      <c r="A113" s="9" t="s">
        <v>249</v>
      </c>
      <c r="B113" s="9" t="s">
        <v>95</v>
      </c>
      <c r="C113" s="9" t="n">
        <v>1</v>
      </c>
      <c r="D113" s="9" t="n">
        <v>1391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 t="s">
        <v>137</v>
      </c>
      <c r="Q113" s="9" t="n">
        <v>0</v>
      </c>
    </row>
    <row r="114" customFormat="false" ht="15" hidden="false" customHeight="true" outlineLevel="0" collapsed="false">
      <c r="A114" s="9" t="s">
        <v>250</v>
      </c>
      <c r="B114" s="9" t="s">
        <v>95</v>
      </c>
      <c r="C114" s="9" t="n">
        <v>1</v>
      </c>
      <c r="D114" s="9" t="n">
        <v>135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 t="s">
        <v>137</v>
      </c>
      <c r="Q114" s="9" t="n">
        <v>0</v>
      </c>
    </row>
    <row r="115" customFormat="false" ht="15" hidden="false" customHeight="true" outlineLevel="0" collapsed="false">
      <c r="A115" s="9" t="s">
        <v>251</v>
      </c>
      <c r="B115" s="9" t="s">
        <v>95</v>
      </c>
      <c r="C115" s="9" t="n">
        <v>1</v>
      </c>
      <c r="D115" s="9" t="n">
        <v>5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 t="s">
        <v>137</v>
      </c>
      <c r="Q115" s="9" t="n">
        <v>0</v>
      </c>
    </row>
    <row r="116" customFormat="false" ht="15" hidden="false" customHeight="true" outlineLevel="0" collapsed="false">
      <c r="A116" s="9" t="s">
        <v>252</v>
      </c>
      <c r="B116" s="9" t="s">
        <v>95</v>
      </c>
      <c r="C116" s="9" t="n">
        <v>1</v>
      </c>
      <c r="D116" s="9" t="n">
        <v>135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 t="s">
        <v>137</v>
      </c>
      <c r="Q116" s="9" t="n">
        <v>0</v>
      </c>
    </row>
    <row r="117" customFormat="false" ht="15" hidden="false" customHeight="true" outlineLevel="0" collapsed="false">
      <c r="A117" s="9" t="s">
        <v>253</v>
      </c>
      <c r="B117" s="9" t="s">
        <v>95</v>
      </c>
      <c r="C117" s="9" t="n">
        <v>1</v>
      </c>
      <c r="D117" s="9" t="n">
        <v>494</v>
      </c>
      <c r="E117" s="9"/>
      <c r="F117" s="9"/>
      <c r="G117" s="9"/>
      <c r="H117" s="9"/>
      <c r="I117" s="9"/>
      <c r="J117" s="9"/>
      <c r="K117" s="9"/>
      <c r="L117" s="9" t="s">
        <v>44</v>
      </c>
      <c r="M117" s="9"/>
      <c r="N117" s="9"/>
      <c r="O117" s="9"/>
      <c r="P117" s="9" t="s">
        <v>146</v>
      </c>
      <c r="Q117" s="9" t="n">
        <v>1</v>
      </c>
    </row>
    <row r="118" customFormat="false" ht="15" hidden="false" customHeight="true" outlineLevel="0" collapsed="false">
      <c r="A118" s="9" t="s">
        <v>254</v>
      </c>
      <c r="B118" s="9" t="s">
        <v>97</v>
      </c>
      <c r="C118" s="9" t="n">
        <v>1</v>
      </c>
      <c r="D118" s="9" t="n">
        <v>126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 t="s">
        <v>137</v>
      </c>
      <c r="Q118" s="9" t="n">
        <v>0</v>
      </c>
    </row>
    <row r="119" customFormat="false" ht="15" hidden="false" customHeight="true" outlineLevel="0" collapsed="false">
      <c r="A119" s="9" t="s">
        <v>255</v>
      </c>
      <c r="B119" s="9" t="s">
        <v>97</v>
      </c>
      <c r="C119" s="9" t="n">
        <v>1</v>
      </c>
      <c r="D119" s="9" t="n">
        <v>126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 t="s">
        <v>137</v>
      </c>
      <c r="Q119" s="9" t="n">
        <v>0</v>
      </c>
    </row>
    <row r="120" customFormat="false" ht="15" hidden="false" customHeight="true" outlineLevel="0" collapsed="false">
      <c r="A120" s="9" t="s">
        <v>256</v>
      </c>
      <c r="B120" s="9" t="s">
        <v>97</v>
      </c>
      <c r="C120" s="9" t="n">
        <v>1</v>
      </c>
      <c r="D120" s="9" t="n">
        <v>126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 t="s">
        <v>137</v>
      </c>
      <c r="Q120" s="9" t="n">
        <v>0</v>
      </c>
    </row>
    <row r="121" customFormat="false" ht="15" hidden="false" customHeight="true" outlineLevel="0" collapsed="false">
      <c r="A121" s="9" t="s">
        <v>257</v>
      </c>
      <c r="B121" s="9" t="s">
        <v>97</v>
      </c>
      <c r="C121" s="9" t="n">
        <v>1</v>
      </c>
      <c r="D121" s="9" t="n">
        <v>126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 t="s">
        <v>137</v>
      </c>
      <c r="Q121" s="9" t="n">
        <v>0</v>
      </c>
    </row>
    <row r="122" customFormat="false" ht="15" hidden="false" customHeight="true" outlineLevel="0" collapsed="false">
      <c r="A122" s="9" t="s">
        <v>258</v>
      </c>
      <c r="B122" s="9" t="s">
        <v>97</v>
      </c>
      <c r="C122" s="9" t="n">
        <v>1</v>
      </c>
      <c r="D122" s="9" t="n">
        <v>126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 t="s">
        <v>137</v>
      </c>
      <c r="Q122" s="9" t="n">
        <v>0</v>
      </c>
    </row>
    <row r="123" customFormat="false" ht="15" hidden="false" customHeight="true" outlineLevel="0" collapsed="false">
      <c r="A123" s="9" t="s">
        <v>259</v>
      </c>
      <c r="B123" s="9" t="s">
        <v>97</v>
      </c>
      <c r="C123" s="9" t="n">
        <v>1</v>
      </c>
      <c r="D123" s="9" t="n">
        <v>126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 t="s">
        <v>137</v>
      </c>
      <c r="Q123" s="9" t="n">
        <v>0</v>
      </c>
    </row>
    <row r="124" customFormat="false" ht="15" hidden="false" customHeight="true" outlineLevel="0" collapsed="false">
      <c r="A124" s="9" t="s">
        <v>260</v>
      </c>
      <c r="B124" s="9" t="s">
        <v>97</v>
      </c>
      <c r="C124" s="9" t="n">
        <v>1</v>
      </c>
      <c r="D124" s="9" t="n">
        <v>126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 t="s">
        <v>137</v>
      </c>
      <c r="Q124" s="9" t="n">
        <v>0</v>
      </c>
    </row>
    <row r="125" customFormat="false" ht="15" hidden="false" customHeight="true" outlineLevel="0" collapsed="false">
      <c r="A125" s="9" t="s">
        <v>261</v>
      </c>
      <c r="B125" s="9" t="s">
        <v>99</v>
      </c>
      <c r="C125" s="9" t="n">
        <v>1</v>
      </c>
      <c r="D125" s="9" t="n">
        <v>157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 t="s">
        <v>137</v>
      </c>
      <c r="Q125" s="9" t="n">
        <v>0</v>
      </c>
    </row>
    <row r="126" customFormat="false" ht="15" hidden="false" customHeight="true" outlineLevel="0" collapsed="false">
      <c r="A126" s="9" t="s">
        <v>262</v>
      </c>
      <c r="B126" s="9" t="s">
        <v>99</v>
      </c>
      <c r="C126" s="9" t="n">
        <v>1</v>
      </c>
      <c r="D126" s="9" t="n">
        <v>77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 t="s">
        <v>137</v>
      </c>
      <c r="Q126" s="9" t="n">
        <v>0</v>
      </c>
    </row>
    <row r="127" customFormat="false" ht="15" hidden="false" customHeight="true" outlineLevel="0" collapsed="false">
      <c r="A127" s="9" t="s">
        <v>263</v>
      </c>
      <c r="B127" s="9" t="s">
        <v>99</v>
      </c>
      <c r="C127" s="9" t="n">
        <v>1</v>
      </c>
      <c r="D127" s="9" t="n">
        <v>5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 t="s">
        <v>137</v>
      </c>
      <c r="Q127" s="9" t="n">
        <v>0</v>
      </c>
    </row>
    <row r="128" customFormat="false" ht="15" hidden="false" customHeight="true" outlineLevel="0" collapsed="false">
      <c r="A128" s="9" t="s">
        <v>264</v>
      </c>
      <c r="B128" s="9" t="s">
        <v>99</v>
      </c>
      <c r="C128" s="9" t="n">
        <v>1</v>
      </c>
      <c r="D128" s="9" t="n">
        <v>1577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 t="s">
        <v>137</v>
      </c>
      <c r="Q128" s="9" t="n">
        <v>0</v>
      </c>
    </row>
    <row r="129" customFormat="false" ht="15" hidden="false" customHeight="true" outlineLevel="0" collapsed="false">
      <c r="A129" s="9" t="s">
        <v>265</v>
      </c>
      <c r="B129" s="9" t="s">
        <v>99</v>
      </c>
      <c r="C129" s="9" t="n">
        <v>1</v>
      </c>
      <c r="D129" s="9" t="n">
        <v>135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 t="s">
        <v>137</v>
      </c>
      <c r="Q129" s="9" t="n">
        <v>0</v>
      </c>
    </row>
    <row r="130" customFormat="false" ht="15" hidden="false" customHeight="true" outlineLevel="0" collapsed="false">
      <c r="A130" s="9" t="s">
        <v>266</v>
      </c>
      <c r="B130" s="9" t="s">
        <v>99</v>
      </c>
      <c r="C130" s="9" t="n">
        <v>1</v>
      </c>
      <c r="D130" s="9" t="n">
        <v>1391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 t="s">
        <v>137</v>
      </c>
      <c r="Q130" s="9" t="n">
        <v>0</v>
      </c>
    </row>
    <row r="131" customFormat="false" ht="15" hidden="false" customHeight="true" outlineLevel="0" collapsed="false">
      <c r="A131" s="9" t="s">
        <v>267</v>
      </c>
      <c r="B131" s="9" t="s">
        <v>99</v>
      </c>
      <c r="C131" s="9" t="n">
        <v>1</v>
      </c>
      <c r="D131" s="9" t="n">
        <v>135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 t="s">
        <v>137</v>
      </c>
      <c r="Q131" s="9" t="n">
        <v>0</v>
      </c>
    </row>
    <row r="132" customFormat="false" ht="15" hidden="false" customHeight="true" outlineLevel="0" collapsed="false">
      <c r="A132" s="9" t="s">
        <v>268</v>
      </c>
      <c r="B132" s="9" t="s">
        <v>99</v>
      </c>
      <c r="C132" s="9" t="n">
        <v>1</v>
      </c>
      <c r="D132" s="9" t="n">
        <v>5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 t="s">
        <v>137</v>
      </c>
      <c r="Q132" s="9" t="n">
        <v>0</v>
      </c>
    </row>
    <row r="133" customFormat="false" ht="15" hidden="false" customHeight="true" outlineLevel="0" collapsed="false">
      <c r="A133" s="9" t="s">
        <v>269</v>
      </c>
      <c r="B133" s="9" t="s">
        <v>99</v>
      </c>
      <c r="C133" s="9" t="n">
        <v>1</v>
      </c>
      <c r="D133" s="9" t="n">
        <v>157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 t="s">
        <v>137</v>
      </c>
      <c r="Q133" s="9" t="n">
        <v>0</v>
      </c>
    </row>
    <row r="134" customFormat="false" ht="15" hidden="false" customHeight="true" outlineLevel="0" collapsed="false">
      <c r="A134" s="9" t="s">
        <v>270</v>
      </c>
      <c r="B134" s="9" t="s">
        <v>99</v>
      </c>
      <c r="C134" s="9" t="n">
        <v>1</v>
      </c>
      <c r="D134" s="9" t="n">
        <v>135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 t="s">
        <v>137</v>
      </c>
      <c r="Q134" s="9" t="n">
        <v>0</v>
      </c>
    </row>
    <row r="135" customFormat="false" ht="15" hidden="false" customHeight="true" outlineLevel="0" collapsed="false">
      <c r="A135" s="9" t="s">
        <v>271</v>
      </c>
      <c r="B135" s="9" t="s">
        <v>99</v>
      </c>
      <c r="C135" s="9" t="n">
        <v>1</v>
      </c>
      <c r="D135" s="9" t="n">
        <v>494</v>
      </c>
      <c r="E135" s="9"/>
      <c r="F135" s="9"/>
      <c r="G135" s="9"/>
      <c r="H135" s="9"/>
      <c r="I135" s="9"/>
      <c r="J135" s="9"/>
      <c r="K135" s="9"/>
      <c r="L135" s="9" t="s">
        <v>44</v>
      </c>
      <c r="M135" s="9"/>
      <c r="N135" s="9"/>
      <c r="O135" s="9"/>
      <c r="P135" s="9" t="s">
        <v>146</v>
      </c>
      <c r="Q135" s="9" t="n">
        <v>1</v>
      </c>
    </row>
    <row r="136" customFormat="false" ht="15" hidden="false" customHeight="true" outlineLevel="0" collapsed="false">
      <c r="A136" s="9" t="s">
        <v>272</v>
      </c>
      <c r="B136" s="9" t="s">
        <v>98</v>
      </c>
      <c r="C136" s="9" t="n">
        <v>1</v>
      </c>
      <c r="D136" s="9" t="n">
        <v>249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 t="s">
        <v>137</v>
      </c>
      <c r="Q136" s="9" t="n">
        <v>0</v>
      </c>
    </row>
    <row r="137" customFormat="false" ht="15" hidden="false" customHeight="true" outlineLevel="0" collapsed="false">
      <c r="A137" s="9" t="s">
        <v>273</v>
      </c>
      <c r="B137" s="9" t="s">
        <v>98</v>
      </c>
      <c r="C137" s="9" t="n">
        <v>1</v>
      </c>
      <c r="D137" s="9" t="n">
        <v>135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 t="s">
        <v>137</v>
      </c>
      <c r="Q137" s="9" t="n">
        <v>0</v>
      </c>
    </row>
    <row r="138" customFormat="false" ht="15" hidden="false" customHeight="true" outlineLevel="0" collapsed="false">
      <c r="A138" s="9" t="s">
        <v>274</v>
      </c>
      <c r="B138" s="9" t="s">
        <v>98</v>
      </c>
      <c r="C138" s="9" t="n">
        <v>1</v>
      </c>
      <c r="D138" s="9" t="n">
        <v>478</v>
      </c>
      <c r="E138" s="9"/>
      <c r="F138" s="9"/>
      <c r="G138" s="9"/>
      <c r="H138" s="9"/>
      <c r="I138" s="9"/>
      <c r="J138" s="9"/>
      <c r="K138" s="9"/>
      <c r="L138" s="9" t="s">
        <v>44</v>
      </c>
      <c r="M138" s="9"/>
      <c r="N138" s="9"/>
      <c r="O138" s="9"/>
      <c r="P138" s="9" t="s">
        <v>146</v>
      </c>
      <c r="Q138" s="9" t="n">
        <v>1</v>
      </c>
    </row>
    <row r="139" customFormat="false" ht="15" hidden="false" customHeight="true" outlineLevel="0" collapsed="false">
      <c r="A139" s="9" t="s">
        <v>275</v>
      </c>
      <c r="B139" s="9" t="s">
        <v>98</v>
      </c>
      <c r="C139" s="9" t="n">
        <v>1</v>
      </c>
      <c r="D139" s="9" t="n">
        <v>157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 t="s">
        <v>137</v>
      </c>
      <c r="Q139" s="9" t="n">
        <v>0</v>
      </c>
    </row>
    <row r="140" customFormat="false" ht="15" hidden="false" customHeight="true" outlineLevel="0" collapsed="false">
      <c r="A140" s="9" t="s">
        <v>276</v>
      </c>
      <c r="B140" s="9" t="s">
        <v>98</v>
      </c>
      <c r="C140" s="9" t="n">
        <v>1</v>
      </c>
      <c r="D140" s="9" t="n">
        <v>77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 t="s">
        <v>137</v>
      </c>
      <c r="Q140" s="9" t="n">
        <v>0</v>
      </c>
    </row>
    <row r="141" customFormat="false" ht="15" hidden="false" customHeight="true" outlineLevel="0" collapsed="false">
      <c r="A141" s="9" t="s">
        <v>277</v>
      </c>
      <c r="B141" s="9" t="s">
        <v>98</v>
      </c>
      <c r="C141" s="9" t="n">
        <v>1</v>
      </c>
      <c r="D141" s="9" t="n">
        <v>157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 t="s">
        <v>137</v>
      </c>
      <c r="Q141" s="9" t="n">
        <v>0</v>
      </c>
    </row>
    <row r="142" customFormat="false" ht="15" hidden="false" customHeight="true" outlineLevel="0" collapsed="false">
      <c r="A142" s="9" t="s">
        <v>278</v>
      </c>
      <c r="B142" s="9" t="s">
        <v>98</v>
      </c>
      <c r="C142" s="9" t="n">
        <v>1</v>
      </c>
      <c r="D142" s="9" t="n">
        <v>5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 t="s">
        <v>137</v>
      </c>
      <c r="Q142" s="9" t="n">
        <v>0</v>
      </c>
    </row>
    <row r="143" customFormat="false" ht="15" hidden="false" customHeight="true" outlineLevel="0" collapsed="false">
      <c r="A143" s="9" t="s">
        <v>279</v>
      </c>
      <c r="B143" s="9" t="s">
        <v>98</v>
      </c>
      <c r="C143" s="9" t="n">
        <v>1</v>
      </c>
      <c r="D143" s="9" t="n">
        <v>1579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 t="s">
        <v>137</v>
      </c>
      <c r="Q143" s="9" t="n">
        <v>0</v>
      </c>
    </row>
    <row r="144" customFormat="false" ht="15" hidden="false" customHeight="true" outlineLevel="0" collapsed="false">
      <c r="A144" s="9" t="s">
        <v>280</v>
      </c>
      <c r="B144" s="9" t="s">
        <v>98</v>
      </c>
      <c r="C144" s="9" t="n">
        <v>1</v>
      </c>
      <c r="D144" s="9" t="n">
        <v>135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 t="s">
        <v>137</v>
      </c>
      <c r="Q144" s="9" t="n">
        <v>0</v>
      </c>
    </row>
    <row r="145" customFormat="false" ht="15" hidden="false" customHeight="true" outlineLevel="0" collapsed="false">
      <c r="A145" s="9" t="s">
        <v>281</v>
      </c>
      <c r="B145" s="9" t="s">
        <v>98</v>
      </c>
      <c r="C145" s="9" t="n">
        <v>1</v>
      </c>
      <c r="D145" s="9" t="n">
        <v>1391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 t="s">
        <v>137</v>
      </c>
      <c r="Q145" s="9" t="n">
        <v>0</v>
      </c>
    </row>
    <row r="146" customFormat="false" ht="15" hidden="false" customHeight="true" outlineLevel="0" collapsed="false">
      <c r="A146" s="9" t="s">
        <v>282</v>
      </c>
      <c r="B146" s="9" t="s">
        <v>98</v>
      </c>
      <c r="C146" s="9" t="n">
        <v>1</v>
      </c>
      <c r="D146" s="9" t="n">
        <v>135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 t="s">
        <v>137</v>
      </c>
      <c r="Q146" s="9" t="n">
        <v>0</v>
      </c>
    </row>
    <row r="147" customFormat="false" ht="15" hidden="false" customHeight="true" outlineLevel="0" collapsed="false">
      <c r="A147" s="9" t="s">
        <v>283</v>
      </c>
      <c r="B147" s="9" t="s">
        <v>98</v>
      </c>
      <c r="C147" s="9" t="n">
        <v>1</v>
      </c>
      <c r="D147" s="9" t="n">
        <v>5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 t="s">
        <v>137</v>
      </c>
      <c r="Q147" s="9" t="n">
        <v>0</v>
      </c>
    </row>
    <row r="148" customFormat="false" ht="15" hidden="false" customHeight="true" outlineLevel="0" collapsed="false">
      <c r="A148" s="9" t="s">
        <v>284</v>
      </c>
      <c r="B148" s="9" t="s">
        <v>98</v>
      </c>
      <c r="C148" s="9" t="n">
        <v>1</v>
      </c>
      <c r="D148" s="9" t="n">
        <v>135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 t="s">
        <v>137</v>
      </c>
      <c r="Q148" s="9" t="n">
        <v>0</v>
      </c>
    </row>
    <row r="149" customFormat="false" ht="15" hidden="false" customHeight="true" outlineLevel="0" collapsed="false">
      <c r="A149" s="9" t="s">
        <v>285</v>
      </c>
      <c r="B149" s="9" t="s">
        <v>100</v>
      </c>
      <c r="C149" s="9" t="n">
        <v>1</v>
      </c>
      <c r="D149" s="9" t="n">
        <v>135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 t="s">
        <v>137</v>
      </c>
      <c r="Q149" s="9" t="n">
        <v>0</v>
      </c>
    </row>
    <row r="150" customFormat="false" ht="15" hidden="false" customHeight="true" outlineLevel="0" collapsed="false">
      <c r="A150" s="9" t="s">
        <v>286</v>
      </c>
      <c r="B150" s="9" t="s">
        <v>100</v>
      </c>
      <c r="C150" s="9" t="n">
        <v>1</v>
      </c>
      <c r="D150" s="9" t="n">
        <v>77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 t="s">
        <v>137</v>
      </c>
      <c r="Q150" s="9" t="n">
        <v>0</v>
      </c>
    </row>
    <row r="151" customFormat="false" ht="15" hidden="false" customHeight="true" outlineLevel="0" collapsed="false">
      <c r="A151" s="9" t="s">
        <v>287</v>
      </c>
      <c r="B151" s="9" t="s">
        <v>100</v>
      </c>
      <c r="C151" s="9" t="n">
        <v>1</v>
      </c>
      <c r="D151" s="9" t="n">
        <v>5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 t="s">
        <v>137</v>
      </c>
      <c r="Q151" s="9" t="n">
        <v>0</v>
      </c>
    </row>
    <row r="152" customFormat="false" ht="15" hidden="false" customHeight="true" outlineLevel="0" collapsed="false">
      <c r="A152" s="9" t="s">
        <v>288</v>
      </c>
      <c r="B152" s="9" t="s">
        <v>100</v>
      </c>
      <c r="C152" s="9" t="n">
        <v>1</v>
      </c>
      <c r="D152" s="9" t="n">
        <v>1577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 t="s">
        <v>137</v>
      </c>
      <c r="Q152" s="9" t="n">
        <v>0</v>
      </c>
    </row>
    <row r="153" customFormat="false" ht="15" hidden="false" customHeight="true" outlineLevel="0" collapsed="false">
      <c r="A153" s="9" t="s">
        <v>289</v>
      </c>
      <c r="B153" s="9" t="s">
        <v>100</v>
      </c>
      <c r="C153" s="9" t="n">
        <v>1</v>
      </c>
      <c r="D153" s="9" t="n">
        <v>135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 t="s">
        <v>137</v>
      </c>
      <c r="Q153" s="9" t="n">
        <v>0</v>
      </c>
    </row>
    <row r="154" customFormat="false" ht="15" hidden="false" customHeight="true" outlineLevel="0" collapsed="false">
      <c r="A154" s="9" t="s">
        <v>290</v>
      </c>
      <c r="B154" s="9" t="s">
        <v>100</v>
      </c>
      <c r="C154" s="9" t="n">
        <v>1</v>
      </c>
      <c r="D154" s="9" t="n">
        <v>1391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 t="s">
        <v>137</v>
      </c>
      <c r="Q154" s="9" t="n">
        <v>0</v>
      </c>
    </row>
    <row r="155" customFormat="false" ht="15" hidden="false" customHeight="true" outlineLevel="0" collapsed="false">
      <c r="A155" s="9" t="s">
        <v>291</v>
      </c>
      <c r="B155" s="9" t="s">
        <v>100</v>
      </c>
      <c r="C155" s="9" t="n">
        <v>1</v>
      </c>
      <c r="D155" s="9" t="n">
        <v>135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 t="s">
        <v>137</v>
      </c>
      <c r="Q155" s="9" t="n">
        <v>0</v>
      </c>
    </row>
    <row r="156" customFormat="false" ht="15" hidden="false" customHeight="true" outlineLevel="0" collapsed="false">
      <c r="A156" s="9" t="s">
        <v>292</v>
      </c>
      <c r="B156" s="9" t="s">
        <v>100</v>
      </c>
      <c r="C156" s="9" t="n">
        <v>1</v>
      </c>
      <c r="D156" s="9" t="n">
        <v>5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 t="s">
        <v>137</v>
      </c>
      <c r="Q156" s="9" t="n">
        <v>0</v>
      </c>
    </row>
    <row r="157" customFormat="false" ht="15" hidden="false" customHeight="true" outlineLevel="0" collapsed="false">
      <c r="A157" s="9" t="s">
        <v>293</v>
      </c>
      <c r="B157" s="9" t="s">
        <v>100</v>
      </c>
      <c r="C157" s="9" t="n">
        <v>1</v>
      </c>
      <c r="D157" s="9" t="n">
        <v>494</v>
      </c>
      <c r="E157" s="9"/>
      <c r="F157" s="9"/>
      <c r="G157" s="9"/>
      <c r="H157" s="9"/>
      <c r="I157" s="9"/>
      <c r="J157" s="9"/>
      <c r="K157" s="9"/>
      <c r="L157" s="9" t="s">
        <v>44</v>
      </c>
      <c r="M157" s="9"/>
      <c r="N157" s="9"/>
      <c r="O157" s="9"/>
      <c r="P157" s="9" t="s">
        <v>146</v>
      </c>
      <c r="Q157" s="9" t="n">
        <v>1</v>
      </c>
    </row>
    <row r="158" customFormat="false" ht="15" hidden="false" customHeight="true" outlineLevel="0" collapsed="false">
      <c r="A158" s="9" t="s">
        <v>294</v>
      </c>
      <c r="B158" s="9" t="s">
        <v>101</v>
      </c>
      <c r="C158" s="9" t="n">
        <v>1</v>
      </c>
      <c r="D158" s="9" t="n">
        <v>126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 t="s">
        <v>137</v>
      </c>
      <c r="Q158" s="9" t="n">
        <v>0</v>
      </c>
    </row>
    <row r="159" customFormat="false" ht="15" hidden="false" customHeight="true" outlineLevel="0" collapsed="false">
      <c r="A159" s="9" t="s">
        <v>295</v>
      </c>
      <c r="B159" s="9" t="s">
        <v>101</v>
      </c>
      <c r="C159" s="9" t="n">
        <v>1</v>
      </c>
      <c r="D159" s="9" t="n">
        <v>126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 t="s">
        <v>137</v>
      </c>
      <c r="Q159" s="9" t="n">
        <v>0</v>
      </c>
    </row>
    <row r="160" customFormat="false" ht="15" hidden="false" customHeight="true" outlineLevel="0" collapsed="false">
      <c r="A160" s="9" t="s">
        <v>296</v>
      </c>
      <c r="B160" s="9" t="s">
        <v>101</v>
      </c>
      <c r="C160" s="9" t="n">
        <v>1</v>
      </c>
      <c r="D160" s="9" t="n">
        <v>126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 t="s">
        <v>137</v>
      </c>
      <c r="Q160" s="9" t="n">
        <v>0</v>
      </c>
    </row>
    <row r="161" customFormat="false" ht="15" hidden="false" customHeight="true" outlineLevel="0" collapsed="false">
      <c r="A161" s="9" t="s">
        <v>297</v>
      </c>
      <c r="B161" s="9" t="s">
        <v>101</v>
      </c>
      <c r="C161" s="9" t="n">
        <v>1</v>
      </c>
      <c r="D161" s="9" t="n">
        <v>126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 t="s">
        <v>137</v>
      </c>
      <c r="Q161" s="9" t="n">
        <v>0</v>
      </c>
    </row>
    <row r="162" customFormat="false" ht="15" hidden="false" customHeight="true" outlineLevel="0" collapsed="false">
      <c r="A162" s="9" t="s">
        <v>298</v>
      </c>
      <c r="B162" s="9" t="s">
        <v>101</v>
      </c>
      <c r="C162" s="9" t="n">
        <v>1</v>
      </c>
      <c r="D162" s="9" t="n">
        <v>126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 t="s">
        <v>137</v>
      </c>
      <c r="Q162" s="9" t="n">
        <v>0</v>
      </c>
    </row>
    <row r="163" customFormat="false" ht="15" hidden="false" customHeight="true" outlineLevel="0" collapsed="false">
      <c r="A163" s="9" t="s">
        <v>299</v>
      </c>
      <c r="B163" s="9" t="s">
        <v>101</v>
      </c>
      <c r="C163" s="9" t="n">
        <v>1</v>
      </c>
      <c r="D163" s="9" t="n">
        <v>126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 t="s">
        <v>137</v>
      </c>
      <c r="Q163" s="9" t="n">
        <v>0</v>
      </c>
    </row>
    <row r="164" customFormat="false" ht="15" hidden="false" customHeight="true" outlineLevel="0" collapsed="false">
      <c r="A164" s="9" t="s">
        <v>300</v>
      </c>
      <c r="B164" s="9" t="s">
        <v>101</v>
      </c>
      <c r="C164" s="9" t="n">
        <v>1</v>
      </c>
      <c r="D164" s="9" t="n">
        <v>126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 t="s">
        <v>137</v>
      </c>
      <c r="Q164" s="9" t="n">
        <v>0</v>
      </c>
    </row>
    <row r="165" customFormat="false" ht="15" hidden="false" customHeight="true" outlineLevel="0" collapsed="false">
      <c r="A165" s="9" t="s">
        <v>301</v>
      </c>
      <c r="B165" s="9" t="s">
        <v>101</v>
      </c>
      <c r="C165" s="9" t="n">
        <v>1</v>
      </c>
      <c r="D165" s="9" t="n">
        <v>126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 t="s">
        <v>137</v>
      </c>
      <c r="Q165" s="9" t="n">
        <v>0</v>
      </c>
    </row>
    <row r="166" customFormat="false" ht="15" hidden="false" customHeight="true" outlineLevel="0" collapsed="false">
      <c r="A166" s="9" t="s">
        <v>302</v>
      </c>
      <c r="B166" s="9" t="s">
        <v>101</v>
      </c>
      <c r="C166" s="9" t="n">
        <v>1</v>
      </c>
      <c r="D166" s="9" t="n">
        <v>126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 t="s">
        <v>137</v>
      </c>
      <c r="Q166" s="9" t="n">
        <v>0</v>
      </c>
    </row>
    <row r="167" customFormat="false" ht="15" hidden="false" customHeight="true" outlineLevel="0" collapsed="false">
      <c r="A167" s="9" t="s">
        <v>303</v>
      </c>
      <c r="B167" s="9" t="s">
        <v>101</v>
      </c>
      <c r="C167" s="9" t="n">
        <v>1</v>
      </c>
      <c r="D167" s="9" t="n">
        <v>126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 t="s">
        <v>137</v>
      </c>
      <c r="Q167" s="9" t="n">
        <v>0</v>
      </c>
    </row>
    <row r="168" customFormat="false" ht="15" hidden="false" customHeight="true" outlineLevel="0" collapsed="false">
      <c r="A168" s="9" t="s">
        <v>304</v>
      </c>
      <c r="B168" s="9" t="s">
        <v>101</v>
      </c>
      <c r="C168" s="9" t="n">
        <v>1</v>
      </c>
      <c r="D168" s="9" t="n">
        <v>126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 t="s">
        <v>137</v>
      </c>
      <c r="Q168" s="9" t="n">
        <v>0</v>
      </c>
    </row>
    <row r="169" customFormat="false" ht="15" hidden="false" customHeight="true" outlineLevel="0" collapsed="false">
      <c r="A169" s="9" t="s">
        <v>305</v>
      </c>
      <c r="B169" s="9" t="s">
        <v>101</v>
      </c>
      <c r="C169" s="9" t="n">
        <v>1</v>
      </c>
      <c r="D169" s="9" t="n">
        <v>126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 t="s">
        <v>137</v>
      </c>
      <c r="Q169" s="9" t="n">
        <v>0</v>
      </c>
    </row>
    <row r="170" customFormat="false" ht="15" hidden="false" customHeight="true" outlineLevel="0" collapsed="false">
      <c r="A170" s="9" t="s">
        <v>306</v>
      </c>
      <c r="B170" s="9" t="s">
        <v>103</v>
      </c>
      <c r="C170" s="9" t="n">
        <v>1</v>
      </c>
      <c r="D170" s="9" t="n">
        <v>77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 t="s">
        <v>137</v>
      </c>
      <c r="Q170" s="9" t="n">
        <v>0</v>
      </c>
    </row>
    <row r="171" customFormat="false" ht="15" hidden="false" customHeight="true" outlineLevel="0" collapsed="false">
      <c r="A171" s="9" t="s">
        <v>307</v>
      </c>
      <c r="B171" s="9" t="s">
        <v>103</v>
      </c>
      <c r="C171" s="9" t="n">
        <v>1</v>
      </c>
      <c r="D171" s="9" t="n">
        <v>5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 t="s">
        <v>137</v>
      </c>
      <c r="Q171" s="9" t="n">
        <v>0</v>
      </c>
    </row>
    <row r="172" customFormat="false" ht="15" hidden="false" customHeight="true" outlineLevel="0" collapsed="false">
      <c r="A172" s="9" t="s">
        <v>308</v>
      </c>
      <c r="B172" s="9" t="s">
        <v>103</v>
      </c>
      <c r="C172" s="9" t="n">
        <v>1</v>
      </c>
      <c r="D172" s="9" t="n">
        <v>1579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 t="s">
        <v>137</v>
      </c>
      <c r="Q172" s="9" t="n">
        <v>0</v>
      </c>
    </row>
    <row r="173" customFormat="false" ht="15" hidden="false" customHeight="true" outlineLevel="0" collapsed="false">
      <c r="A173" s="9" t="s">
        <v>309</v>
      </c>
      <c r="B173" s="9" t="s">
        <v>103</v>
      </c>
      <c r="C173" s="9" t="n">
        <v>1</v>
      </c>
      <c r="D173" s="9" t="n">
        <v>135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 t="s">
        <v>137</v>
      </c>
      <c r="Q173" s="9" t="n">
        <v>0</v>
      </c>
    </row>
    <row r="174" customFormat="false" ht="15" hidden="false" customHeight="true" outlineLevel="0" collapsed="false">
      <c r="A174" s="9" t="s">
        <v>310</v>
      </c>
      <c r="B174" s="9" t="s">
        <v>103</v>
      </c>
      <c r="C174" s="9" t="n">
        <v>1</v>
      </c>
      <c r="D174" s="9" t="n">
        <v>1391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 t="s">
        <v>137</v>
      </c>
      <c r="Q174" s="9" t="n">
        <v>0</v>
      </c>
    </row>
    <row r="175" customFormat="false" ht="15" hidden="false" customHeight="true" outlineLevel="0" collapsed="false">
      <c r="A175" s="9" t="s">
        <v>311</v>
      </c>
      <c r="B175" s="9" t="s">
        <v>103</v>
      </c>
      <c r="C175" s="9" t="n">
        <v>1</v>
      </c>
      <c r="D175" s="9" t="n">
        <v>135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 t="s">
        <v>137</v>
      </c>
      <c r="Q175" s="9" t="n">
        <v>0</v>
      </c>
    </row>
    <row r="176" customFormat="false" ht="15" hidden="false" customHeight="true" outlineLevel="0" collapsed="false">
      <c r="A176" s="9" t="s">
        <v>312</v>
      </c>
      <c r="B176" s="9" t="s">
        <v>103</v>
      </c>
      <c r="C176" s="9" t="n">
        <v>1</v>
      </c>
      <c r="D176" s="9" t="n">
        <v>5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 t="s">
        <v>137</v>
      </c>
      <c r="Q176" s="9" t="n">
        <v>0</v>
      </c>
    </row>
    <row r="177" customFormat="false" ht="15" hidden="false" customHeight="true" outlineLevel="0" collapsed="false">
      <c r="A177" s="9" t="s">
        <v>313</v>
      </c>
      <c r="B177" s="9" t="s">
        <v>103</v>
      </c>
      <c r="C177" s="9" t="n">
        <v>1</v>
      </c>
      <c r="D177" s="9" t="n">
        <v>135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 t="s">
        <v>137</v>
      </c>
      <c r="Q177" s="9" t="n">
        <v>0</v>
      </c>
    </row>
    <row r="178" customFormat="false" ht="15" hidden="false" customHeight="true" outlineLevel="0" collapsed="false">
      <c r="A178" s="9" t="s">
        <v>314</v>
      </c>
      <c r="B178" s="9" t="s">
        <v>103</v>
      </c>
      <c r="C178" s="9" t="n">
        <v>1</v>
      </c>
      <c r="D178" s="9" t="n">
        <v>494</v>
      </c>
      <c r="E178" s="9"/>
      <c r="F178" s="9"/>
      <c r="G178" s="9"/>
      <c r="H178" s="9"/>
      <c r="I178" s="9"/>
      <c r="J178" s="9"/>
      <c r="K178" s="9"/>
      <c r="L178" s="9" t="s">
        <v>44</v>
      </c>
      <c r="M178" s="9"/>
      <c r="N178" s="9"/>
      <c r="O178" s="9"/>
      <c r="P178" s="9" t="s">
        <v>146</v>
      </c>
      <c r="Q178" s="9" t="n">
        <v>1</v>
      </c>
    </row>
    <row r="179" customFormat="false" ht="15" hidden="false" customHeight="true" outlineLevel="0" collapsed="false">
      <c r="A179" s="9" t="s">
        <v>315</v>
      </c>
      <c r="B179" s="9" t="s">
        <v>102</v>
      </c>
      <c r="C179" s="9" t="n">
        <v>1</v>
      </c>
      <c r="D179" s="9" t="n">
        <v>249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 t="s">
        <v>137</v>
      </c>
      <c r="Q179" s="9" t="n">
        <v>0</v>
      </c>
    </row>
    <row r="180" customFormat="false" ht="15" hidden="false" customHeight="true" outlineLevel="0" collapsed="false">
      <c r="A180" s="9" t="s">
        <v>316</v>
      </c>
      <c r="B180" s="9" t="s">
        <v>102</v>
      </c>
      <c r="C180" s="9" t="n">
        <v>1</v>
      </c>
      <c r="D180" s="9" t="n">
        <v>135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 t="s">
        <v>137</v>
      </c>
      <c r="Q180" s="9" t="n">
        <v>0</v>
      </c>
    </row>
    <row r="181" customFormat="false" ht="15" hidden="false" customHeight="true" outlineLevel="0" collapsed="false">
      <c r="A181" s="9" t="s">
        <v>317</v>
      </c>
      <c r="B181" s="9" t="s">
        <v>102</v>
      </c>
      <c r="C181" s="9" t="n">
        <v>1</v>
      </c>
      <c r="D181" s="9" t="n">
        <v>77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 t="s">
        <v>137</v>
      </c>
      <c r="Q181" s="9" t="n">
        <v>0</v>
      </c>
    </row>
    <row r="182" customFormat="false" ht="15" hidden="false" customHeight="true" outlineLevel="0" collapsed="false">
      <c r="A182" s="9" t="s">
        <v>318</v>
      </c>
      <c r="B182" s="9" t="s">
        <v>102</v>
      </c>
      <c r="C182" s="9" t="n">
        <v>1</v>
      </c>
      <c r="D182" s="9" t="n">
        <v>5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 t="s">
        <v>137</v>
      </c>
      <c r="Q182" s="9" t="n">
        <v>0</v>
      </c>
    </row>
    <row r="183" customFormat="false" ht="15" hidden="false" customHeight="true" outlineLevel="0" collapsed="false">
      <c r="A183" s="9" t="s">
        <v>319</v>
      </c>
      <c r="B183" s="9" t="s">
        <v>102</v>
      </c>
      <c r="C183" s="9" t="n">
        <v>1</v>
      </c>
      <c r="D183" s="9" t="n">
        <v>1577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 t="s">
        <v>137</v>
      </c>
      <c r="Q183" s="9" t="n">
        <v>0</v>
      </c>
    </row>
    <row r="184" customFormat="false" ht="15" hidden="false" customHeight="true" outlineLevel="0" collapsed="false">
      <c r="A184" s="9" t="s">
        <v>320</v>
      </c>
      <c r="B184" s="9" t="s">
        <v>102</v>
      </c>
      <c r="C184" s="9" t="n">
        <v>1</v>
      </c>
      <c r="D184" s="9" t="n">
        <v>135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 t="s">
        <v>137</v>
      </c>
      <c r="Q184" s="9" t="n">
        <v>0</v>
      </c>
    </row>
    <row r="185" customFormat="false" ht="15" hidden="false" customHeight="true" outlineLevel="0" collapsed="false">
      <c r="A185" s="9" t="s">
        <v>321</v>
      </c>
      <c r="B185" s="9" t="s">
        <v>102</v>
      </c>
      <c r="C185" s="9" t="n">
        <v>1</v>
      </c>
      <c r="D185" s="9" t="n">
        <v>1391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 t="s">
        <v>137</v>
      </c>
      <c r="Q185" s="9" t="n">
        <v>0</v>
      </c>
    </row>
    <row r="186" customFormat="false" ht="15" hidden="false" customHeight="true" outlineLevel="0" collapsed="false">
      <c r="A186" s="9" t="s">
        <v>322</v>
      </c>
      <c r="B186" s="9" t="s">
        <v>102</v>
      </c>
      <c r="C186" s="9" t="n">
        <v>1</v>
      </c>
      <c r="D186" s="9" t="n">
        <v>135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 t="s">
        <v>137</v>
      </c>
      <c r="Q186" s="9" t="n">
        <v>0</v>
      </c>
    </row>
    <row r="187" customFormat="false" ht="15" hidden="false" customHeight="true" outlineLevel="0" collapsed="false">
      <c r="A187" s="9" t="s">
        <v>323</v>
      </c>
      <c r="B187" s="9" t="s">
        <v>102</v>
      </c>
      <c r="C187" s="9" t="n">
        <v>1</v>
      </c>
      <c r="D187" s="9" t="n">
        <v>5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 t="s">
        <v>137</v>
      </c>
      <c r="Q187" s="9" t="n">
        <v>0</v>
      </c>
    </row>
    <row r="188" customFormat="false" ht="15" hidden="false" customHeight="true" outlineLevel="0" collapsed="false">
      <c r="A188" s="9" t="s">
        <v>324</v>
      </c>
      <c r="B188" s="9" t="s">
        <v>102</v>
      </c>
      <c r="C188" s="9" t="n">
        <v>1</v>
      </c>
      <c r="D188" s="9" t="n">
        <v>135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 t="s">
        <v>137</v>
      </c>
      <c r="Q188" s="9" t="n">
        <v>0</v>
      </c>
    </row>
    <row r="189" customFormat="false" ht="15" hidden="false" customHeight="true" outlineLevel="0" collapsed="false">
      <c r="A189" s="9" t="s">
        <v>325</v>
      </c>
      <c r="B189" s="9" t="s">
        <v>102</v>
      </c>
      <c r="C189" s="9" t="n">
        <v>1</v>
      </c>
      <c r="D189" s="9" t="n">
        <v>494</v>
      </c>
      <c r="E189" s="9"/>
      <c r="F189" s="9"/>
      <c r="G189" s="9"/>
      <c r="H189" s="9"/>
      <c r="I189" s="9"/>
      <c r="J189" s="9"/>
      <c r="K189" s="9"/>
      <c r="L189" s="9" t="s">
        <v>44</v>
      </c>
      <c r="M189" s="9"/>
      <c r="N189" s="9"/>
      <c r="O189" s="9"/>
      <c r="P189" s="9" t="s">
        <v>146</v>
      </c>
      <c r="Q189" s="9" t="n">
        <v>1</v>
      </c>
    </row>
    <row r="190" customFormat="false" ht="15" hidden="false" customHeight="true" outlineLevel="0" collapsed="false">
      <c r="A190" s="9" t="s">
        <v>326</v>
      </c>
      <c r="B190" s="9" t="s">
        <v>104</v>
      </c>
      <c r="C190" s="9" t="n">
        <v>1</v>
      </c>
      <c r="D190" s="9" t="n">
        <v>249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 t="s">
        <v>137</v>
      </c>
      <c r="Q190" s="9" t="n">
        <v>0</v>
      </c>
    </row>
    <row r="191" customFormat="false" ht="15" hidden="false" customHeight="true" outlineLevel="0" collapsed="false">
      <c r="A191" s="9" t="s">
        <v>327</v>
      </c>
      <c r="B191" s="9" t="s">
        <v>104</v>
      </c>
      <c r="C191" s="9" t="n">
        <v>1</v>
      </c>
      <c r="D191" s="9" t="n">
        <v>135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 t="s">
        <v>137</v>
      </c>
      <c r="Q191" s="9" t="n">
        <v>0</v>
      </c>
    </row>
    <row r="192" customFormat="false" ht="15" hidden="false" customHeight="true" outlineLevel="0" collapsed="false">
      <c r="A192" s="9" t="s">
        <v>328</v>
      </c>
      <c r="B192" s="9" t="s">
        <v>104</v>
      </c>
      <c r="C192" s="9" t="n">
        <v>1</v>
      </c>
      <c r="D192" s="9" t="n">
        <v>77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 t="s">
        <v>137</v>
      </c>
      <c r="Q192" s="9" t="n">
        <v>0</v>
      </c>
    </row>
    <row r="193" customFormat="false" ht="15" hidden="false" customHeight="true" outlineLevel="0" collapsed="false">
      <c r="A193" s="9" t="s">
        <v>329</v>
      </c>
      <c r="B193" s="9" t="s">
        <v>104</v>
      </c>
      <c r="C193" s="9" t="n">
        <v>1</v>
      </c>
      <c r="D193" s="9" t="n">
        <v>5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 t="s">
        <v>137</v>
      </c>
      <c r="Q193" s="9" t="n">
        <v>0</v>
      </c>
    </row>
    <row r="194" customFormat="false" ht="15" hidden="false" customHeight="true" outlineLevel="0" collapsed="false">
      <c r="A194" s="9" t="s">
        <v>330</v>
      </c>
      <c r="B194" s="9" t="s">
        <v>104</v>
      </c>
      <c r="C194" s="9" t="n">
        <v>1</v>
      </c>
      <c r="D194" s="9" t="n">
        <v>1579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s">
        <v>137</v>
      </c>
      <c r="Q194" s="9" t="n">
        <v>0</v>
      </c>
    </row>
    <row r="195" customFormat="false" ht="15" hidden="false" customHeight="true" outlineLevel="0" collapsed="false">
      <c r="A195" s="9" t="s">
        <v>331</v>
      </c>
      <c r="B195" s="9" t="s">
        <v>104</v>
      </c>
      <c r="C195" s="9" t="n">
        <v>1</v>
      </c>
      <c r="D195" s="9" t="n">
        <v>135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 t="s">
        <v>137</v>
      </c>
      <c r="Q195" s="9" t="n">
        <v>0</v>
      </c>
    </row>
    <row r="196" customFormat="false" ht="15" hidden="false" customHeight="true" outlineLevel="0" collapsed="false">
      <c r="A196" s="9" t="s">
        <v>332</v>
      </c>
      <c r="B196" s="9" t="s">
        <v>104</v>
      </c>
      <c r="C196" s="9" t="n">
        <v>1</v>
      </c>
      <c r="D196" s="9" t="n">
        <v>1392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 t="s">
        <v>137</v>
      </c>
      <c r="Q196" s="9" t="n">
        <v>0</v>
      </c>
    </row>
    <row r="197" customFormat="false" ht="15" hidden="false" customHeight="true" outlineLevel="0" collapsed="false">
      <c r="A197" s="9" t="s">
        <v>333</v>
      </c>
      <c r="B197" s="9" t="s">
        <v>104</v>
      </c>
      <c r="C197" s="9" t="n">
        <v>1</v>
      </c>
      <c r="D197" s="9" t="n">
        <v>135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 t="s">
        <v>137</v>
      </c>
      <c r="Q197" s="9" t="n">
        <v>0</v>
      </c>
    </row>
    <row r="198" customFormat="false" ht="15" hidden="false" customHeight="true" outlineLevel="0" collapsed="false">
      <c r="A198" s="9" t="s">
        <v>334</v>
      </c>
      <c r="B198" s="9" t="s">
        <v>104</v>
      </c>
      <c r="C198" s="9" t="n">
        <v>1</v>
      </c>
      <c r="D198" s="9" t="n">
        <v>5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 t="s">
        <v>137</v>
      </c>
      <c r="Q198" s="9" t="n">
        <v>0</v>
      </c>
    </row>
    <row r="199" customFormat="false" ht="15" hidden="false" customHeight="true" outlineLevel="0" collapsed="false">
      <c r="A199" s="9" t="s">
        <v>335</v>
      </c>
      <c r="B199" s="9" t="s">
        <v>104</v>
      </c>
      <c r="C199" s="9" t="n">
        <v>1</v>
      </c>
      <c r="D199" s="9" t="n">
        <v>135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 t="s">
        <v>137</v>
      </c>
      <c r="Q199" s="9" t="n">
        <v>0</v>
      </c>
    </row>
    <row r="200" customFormat="false" ht="15" hidden="false" customHeight="true" outlineLevel="0" collapsed="false">
      <c r="A200" s="9" t="s">
        <v>336</v>
      </c>
      <c r="B200" s="9" t="s">
        <v>104</v>
      </c>
      <c r="C200" s="9" t="n">
        <v>1</v>
      </c>
      <c r="D200" s="9" t="n">
        <v>494</v>
      </c>
      <c r="E200" s="9"/>
      <c r="F200" s="9"/>
      <c r="G200" s="9"/>
      <c r="H200" s="9"/>
      <c r="I200" s="9"/>
      <c r="J200" s="9"/>
      <c r="K200" s="9"/>
      <c r="L200" s="9" t="s">
        <v>44</v>
      </c>
      <c r="M200" s="9"/>
      <c r="N200" s="9"/>
      <c r="O200" s="9"/>
      <c r="P200" s="9" t="s">
        <v>146</v>
      </c>
      <c r="Q200" s="9" t="n">
        <v>1</v>
      </c>
    </row>
    <row r="201" customFormat="false" ht="15" hidden="false" customHeight="true" outlineLevel="0" collapsed="false">
      <c r="A201" s="9" t="s">
        <v>337</v>
      </c>
      <c r="B201" s="9" t="s">
        <v>105</v>
      </c>
      <c r="C201" s="9" t="n">
        <v>1</v>
      </c>
      <c r="D201" s="9" t="n">
        <v>249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 t="s">
        <v>137</v>
      </c>
      <c r="Q201" s="9" t="n">
        <v>0</v>
      </c>
    </row>
    <row r="202" customFormat="false" ht="15" hidden="false" customHeight="true" outlineLevel="0" collapsed="false">
      <c r="A202" s="9" t="s">
        <v>338</v>
      </c>
      <c r="B202" s="9" t="s">
        <v>105</v>
      </c>
      <c r="C202" s="9" t="n">
        <v>1</v>
      </c>
      <c r="D202" s="9" t="n">
        <v>135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 t="s">
        <v>137</v>
      </c>
      <c r="Q202" s="9" t="n">
        <v>0</v>
      </c>
    </row>
    <row r="203" customFormat="false" ht="15" hidden="false" customHeight="true" outlineLevel="0" collapsed="false">
      <c r="A203" s="9" t="s">
        <v>339</v>
      </c>
      <c r="B203" s="9" t="s">
        <v>105</v>
      </c>
      <c r="C203" s="9" t="n">
        <v>1</v>
      </c>
      <c r="D203" s="9" t="n">
        <v>478</v>
      </c>
      <c r="E203" s="9"/>
      <c r="F203" s="9"/>
      <c r="G203" s="9"/>
      <c r="H203" s="9"/>
      <c r="I203" s="9"/>
      <c r="J203" s="9"/>
      <c r="K203" s="9"/>
      <c r="L203" s="9" t="s">
        <v>44</v>
      </c>
      <c r="M203" s="9"/>
      <c r="N203" s="9"/>
      <c r="O203" s="9"/>
      <c r="P203" s="9" t="s">
        <v>146</v>
      </c>
      <c r="Q203" s="9" t="n">
        <v>1</v>
      </c>
    </row>
    <row r="204" customFormat="false" ht="15" hidden="false" customHeight="true" outlineLevel="0" collapsed="false">
      <c r="A204" s="9" t="s">
        <v>340</v>
      </c>
      <c r="B204" s="9" t="s">
        <v>105</v>
      </c>
      <c r="C204" s="9" t="n">
        <v>1</v>
      </c>
      <c r="D204" s="9" t="n">
        <v>77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 t="s">
        <v>137</v>
      </c>
      <c r="Q204" s="9" t="n">
        <v>0</v>
      </c>
    </row>
    <row r="205" customFormat="false" ht="15" hidden="false" customHeight="true" outlineLevel="0" collapsed="false">
      <c r="A205" s="9" t="s">
        <v>341</v>
      </c>
      <c r="B205" s="9" t="s">
        <v>105</v>
      </c>
      <c r="C205" s="9" t="n">
        <v>1</v>
      </c>
      <c r="D205" s="9" t="n">
        <v>5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 t="s">
        <v>137</v>
      </c>
      <c r="Q205" s="9" t="n">
        <v>0</v>
      </c>
    </row>
    <row r="206" customFormat="false" ht="15" hidden="false" customHeight="true" outlineLevel="0" collapsed="false">
      <c r="A206" s="9" t="s">
        <v>342</v>
      </c>
      <c r="B206" s="9" t="s">
        <v>105</v>
      </c>
      <c r="C206" s="9" t="n">
        <v>1</v>
      </c>
      <c r="D206" s="9" t="n">
        <v>1577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 t="s">
        <v>137</v>
      </c>
      <c r="Q206" s="9" t="n">
        <v>0</v>
      </c>
    </row>
    <row r="207" customFormat="false" ht="15" hidden="false" customHeight="true" outlineLevel="0" collapsed="false">
      <c r="A207" s="9" t="s">
        <v>343</v>
      </c>
      <c r="B207" s="9" t="s">
        <v>105</v>
      </c>
      <c r="C207" s="9" t="n">
        <v>1</v>
      </c>
      <c r="D207" s="9" t="n">
        <v>135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 t="s">
        <v>137</v>
      </c>
      <c r="Q207" s="9" t="n">
        <v>0</v>
      </c>
    </row>
    <row r="208" customFormat="false" ht="15" hidden="false" customHeight="true" outlineLevel="0" collapsed="false">
      <c r="A208" s="9" t="s">
        <v>344</v>
      </c>
      <c r="B208" s="9" t="s">
        <v>105</v>
      </c>
      <c r="C208" s="9" t="n">
        <v>1</v>
      </c>
      <c r="D208" s="9" t="n">
        <v>1391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 t="s">
        <v>137</v>
      </c>
      <c r="Q208" s="9" t="n">
        <v>0</v>
      </c>
    </row>
    <row r="209" customFormat="false" ht="15" hidden="false" customHeight="true" outlineLevel="0" collapsed="false">
      <c r="A209" s="9" t="s">
        <v>345</v>
      </c>
      <c r="B209" s="9" t="s">
        <v>105</v>
      </c>
      <c r="C209" s="9" t="n">
        <v>1</v>
      </c>
      <c r="D209" s="9" t="n">
        <v>135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 t="s">
        <v>137</v>
      </c>
      <c r="Q209" s="9" t="n">
        <v>0</v>
      </c>
    </row>
    <row r="210" customFormat="false" ht="15" hidden="false" customHeight="true" outlineLevel="0" collapsed="false">
      <c r="A210" s="9" t="s">
        <v>346</v>
      </c>
      <c r="B210" s="9" t="s">
        <v>105</v>
      </c>
      <c r="C210" s="9" t="n">
        <v>1</v>
      </c>
      <c r="D210" s="9" t="n">
        <v>5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 t="s">
        <v>137</v>
      </c>
      <c r="Q210" s="9" t="n">
        <v>0</v>
      </c>
    </row>
    <row r="211" customFormat="false" ht="15" hidden="false" customHeight="true" outlineLevel="0" collapsed="false">
      <c r="A211" s="9" t="s">
        <v>347</v>
      </c>
      <c r="B211" s="9" t="s">
        <v>105</v>
      </c>
      <c r="C211" s="9" t="n">
        <v>1</v>
      </c>
      <c r="D211" s="9" t="n">
        <v>135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 t="s">
        <v>137</v>
      </c>
      <c r="Q211" s="9" t="n">
        <v>0</v>
      </c>
    </row>
    <row r="212" customFormat="false" ht="15" hidden="false" customHeight="true" outlineLevel="0" collapsed="false">
      <c r="A212" s="9" t="s">
        <v>348</v>
      </c>
      <c r="B212" s="9" t="s">
        <v>107</v>
      </c>
      <c r="C212" s="9" t="n">
        <v>1</v>
      </c>
      <c r="D212" s="9" t="n">
        <v>77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 t="s">
        <v>137</v>
      </c>
      <c r="Q212" s="9" t="n">
        <v>0</v>
      </c>
    </row>
    <row r="213" customFormat="false" ht="15" hidden="false" customHeight="true" outlineLevel="0" collapsed="false">
      <c r="A213" s="9" t="s">
        <v>349</v>
      </c>
      <c r="B213" s="9" t="s">
        <v>107</v>
      </c>
      <c r="C213" s="9" t="n">
        <v>1</v>
      </c>
      <c r="D213" s="9" t="n">
        <v>5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 t="s">
        <v>137</v>
      </c>
      <c r="Q213" s="9" t="n">
        <v>0</v>
      </c>
    </row>
    <row r="214" customFormat="false" ht="15" hidden="false" customHeight="true" outlineLevel="0" collapsed="false">
      <c r="A214" s="9" t="s">
        <v>350</v>
      </c>
      <c r="B214" s="9" t="s">
        <v>107</v>
      </c>
      <c r="C214" s="9" t="n">
        <v>1</v>
      </c>
      <c r="D214" s="9" t="n">
        <v>1579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 t="s">
        <v>137</v>
      </c>
      <c r="Q214" s="9" t="n">
        <v>0</v>
      </c>
    </row>
    <row r="215" customFormat="false" ht="15" hidden="false" customHeight="true" outlineLevel="0" collapsed="false">
      <c r="A215" s="9" t="s">
        <v>351</v>
      </c>
      <c r="B215" s="9" t="s">
        <v>107</v>
      </c>
      <c r="C215" s="9" t="n">
        <v>1</v>
      </c>
      <c r="D215" s="9" t="n">
        <v>135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 t="s">
        <v>137</v>
      </c>
      <c r="Q215" s="9" t="n">
        <v>0</v>
      </c>
    </row>
    <row r="216" customFormat="false" ht="15" hidden="false" customHeight="true" outlineLevel="0" collapsed="false">
      <c r="A216" s="9" t="s">
        <v>352</v>
      </c>
      <c r="B216" s="9" t="s">
        <v>107</v>
      </c>
      <c r="C216" s="9" t="n">
        <v>1</v>
      </c>
      <c r="D216" s="9" t="n">
        <v>1391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 t="s">
        <v>137</v>
      </c>
      <c r="Q216" s="9" t="n">
        <v>0</v>
      </c>
    </row>
    <row r="217" customFormat="false" ht="15" hidden="false" customHeight="true" outlineLevel="0" collapsed="false">
      <c r="A217" s="9" t="s">
        <v>353</v>
      </c>
      <c r="B217" s="9" t="s">
        <v>107</v>
      </c>
      <c r="C217" s="9" t="n">
        <v>1</v>
      </c>
      <c r="D217" s="9" t="n">
        <v>135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 t="s">
        <v>137</v>
      </c>
      <c r="Q217" s="9" t="n">
        <v>0</v>
      </c>
    </row>
    <row r="218" customFormat="false" ht="15" hidden="false" customHeight="true" outlineLevel="0" collapsed="false">
      <c r="A218" s="9" t="s">
        <v>354</v>
      </c>
      <c r="B218" s="9" t="s">
        <v>107</v>
      </c>
      <c r="C218" s="9" t="n">
        <v>1</v>
      </c>
      <c r="D218" s="9" t="n">
        <v>5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 t="s">
        <v>137</v>
      </c>
      <c r="Q218" s="9" t="n">
        <v>0</v>
      </c>
    </row>
    <row r="219" customFormat="false" ht="15" hidden="false" customHeight="true" outlineLevel="0" collapsed="false">
      <c r="A219" s="9" t="s">
        <v>355</v>
      </c>
      <c r="B219" s="9" t="s">
        <v>107</v>
      </c>
      <c r="C219" s="9" t="n">
        <v>1</v>
      </c>
      <c r="D219" s="9" t="n">
        <v>135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 t="s">
        <v>137</v>
      </c>
      <c r="Q219" s="9" t="n">
        <v>0</v>
      </c>
    </row>
    <row r="220" customFormat="false" ht="15" hidden="false" customHeight="true" outlineLevel="0" collapsed="false">
      <c r="A220" s="9" t="s">
        <v>356</v>
      </c>
      <c r="B220" s="9" t="s">
        <v>107</v>
      </c>
      <c r="C220" s="9" t="n">
        <v>1</v>
      </c>
      <c r="D220" s="9" t="n">
        <v>494</v>
      </c>
      <c r="E220" s="9"/>
      <c r="F220" s="9"/>
      <c r="G220" s="9"/>
      <c r="H220" s="9"/>
      <c r="I220" s="9"/>
      <c r="J220" s="9"/>
      <c r="K220" s="9"/>
      <c r="L220" s="9" t="s">
        <v>44</v>
      </c>
      <c r="M220" s="9"/>
      <c r="N220" s="9"/>
      <c r="O220" s="9"/>
      <c r="P220" s="9" t="s">
        <v>146</v>
      </c>
      <c r="Q220" s="9" t="n">
        <v>1</v>
      </c>
    </row>
    <row r="221" customFormat="false" ht="15" hidden="false" customHeight="true" outlineLevel="0" collapsed="false">
      <c r="A221" s="9" t="s">
        <v>357</v>
      </c>
      <c r="B221" s="9" t="s">
        <v>106</v>
      </c>
      <c r="C221" s="9" t="n">
        <v>1</v>
      </c>
      <c r="D221" s="9" t="n">
        <v>105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 t="s">
        <v>137</v>
      </c>
      <c r="Q221" s="9" t="n">
        <v>0</v>
      </c>
    </row>
    <row r="222" customFormat="false" ht="15" hidden="false" customHeight="true" outlineLevel="0" collapsed="false">
      <c r="A222" s="9" t="s">
        <v>358</v>
      </c>
      <c r="B222" s="9" t="s">
        <v>106</v>
      </c>
      <c r="C222" s="9" t="n">
        <v>1</v>
      </c>
      <c r="D222" s="9" t="n">
        <v>105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 t="s">
        <v>137</v>
      </c>
      <c r="Q222" s="9" t="n">
        <v>0</v>
      </c>
    </row>
    <row r="223" customFormat="false" ht="15" hidden="false" customHeight="true" outlineLevel="0" collapsed="false">
      <c r="A223" s="9" t="s">
        <v>359</v>
      </c>
      <c r="B223" s="9" t="s">
        <v>106</v>
      </c>
      <c r="C223" s="9" t="n">
        <v>1</v>
      </c>
      <c r="D223" s="9" t="n">
        <v>105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 t="s">
        <v>137</v>
      </c>
      <c r="Q223" s="9" t="n">
        <v>0</v>
      </c>
    </row>
    <row r="224" customFormat="false" ht="15" hidden="false" customHeight="true" outlineLevel="0" collapsed="false">
      <c r="A224" s="9" t="s">
        <v>360</v>
      </c>
      <c r="B224" s="9" t="s">
        <v>106</v>
      </c>
      <c r="C224" s="9" t="n">
        <v>1</v>
      </c>
      <c r="D224" s="9" t="n">
        <v>105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 t="s">
        <v>137</v>
      </c>
      <c r="Q224" s="9" t="n">
        <v>0</v>
      </c>
    </row>
    <row r="225" customFormat="false" ht="15" hidden="false" customHeight="true" outlineLevel="0" collapsed="false">
      <c r="A225" s="9" t="s">
        <v>361</v>
      </c>
      <c r="B225" s="9" t="s">
        <v>106</v>
      </c>
      <c r="C225" s="9" t="n">
        <v>1</v>
      </c>
      <c r="D225" s="9" t="n">
        <v>105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 t="s">
        <v>137</v>
      </c>
      <c r="Q225" s="9" t="n">
        <v>0</v>
      </c>
    </row>
    <row r="226" customFormat="false" ht="15" hidden="false" customHeight="true" outlineLevel="0" collapsed="false">
      <c r="A226" s="9" t="s">
        <v>362</v>
      </c>
      <c r="B226" s="9" t="s">
        <v>106</v>
      </c>
      <c r="C226" s="9" t="n">
        <v>1</v>
      </c>
      <c r="D226" s="9" t="n">
        <v>105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 t="s">
        <v>137</v>
      </c>
      <c r="Q226" s="9" t="n">
        <v>0</v>
      </c>
    </row>
    <row r="227" customFormat="false" ht="15" hidden="false" customHeight="true" outlineLevel="0" collapsed="false">
      <c r="A227" s="9" t="s">
        <v>363</v>
      </c>
      <c r="B227" s="9" t="s">
        <v>106</v>
      </c>
      <c r="C227" s="9" t="n">
        <v>1</v>
      </c>
      <c r="D227" s="9" t="n">
        <v>105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 t="s">
        <v>137</v>
      </c>
      <c r="Q227" s="9" t="n">
        <v>0</v>
      </c>
    </row>
    <row r="228" customFormat="false" ht="15" hidden="false" customHeight="true" outlineLevel="0" collapsed="false">
      <c r="A228" s="9" t="s">
        <v>364</v>
      </c>
      <c r="B228" s="9" t="s">
        <v>106</v>
      </c>
      <c r="C228" s="9" t="n">
        <v>1</v>
      </c>
      <c r="D228" s="9" t="n">
        <v>105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 t="s">
        <v>137</v>
      </c>
      <c r="Q228" s="9" t="n">
        <v>0</v>
      </c>
    </row>
    <row r="229" customFormat="false" ht="15" hidden="false" customHeight="true" outlineLevel="0" collapsed="false">
      <c r="A229" s="9" t="s">
        <v>365</v>
      </c>
      <c r="B229" s="9" t="s">
        <v>106</v>
      </c>
      <c r="C229" s="9" t="n">
        <v>1</v>
      </c>
      <c r="D229" s="9" t="n">
        <v>105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 t="s">
        <v>137</v>
      </c>
      <c r="Q229" s="9" t="n">
        <v>0</v>
      </c>
    </row>
    <row r="230" customFormat="false" ht="15" hidden="false" customHeight="true" outlineLevel="0" collapsed="false">
      <c r="A230" s="9" t="s">
        <v>366</v>
      </c>
      <c r="B230" s="9" t="s">
        <v>106</v>
      </c>
      <c r="C230" s="9" t="n">
        <v>1</v>
      </c>
      <c r="D230" s="9" t="n">
        <v>105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 t="s">
        <v>137</v>
      </c>
      <c r="Q230" s="9" t="n">
        <v>0</v>
      </c>
    </row>
    <row r="231" customFormat="false" ht="15" hidden="false" customHeight="true" outlineLevel="0" collapsed="false">
      <c r="A231" s="9" t="s">
        <v>367</v>
      </c>
      <c r="B231" s="9" t="s">
        <v>106</v>
      </c>
      <c r="C231" s="9" t="n">
        <v>1</v>
      </c>
      <c r="D231" s="9" t="n">
        <v>105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 t="s">
        <v>137</v>
      </c>
      <c r="Q231" s="9" t="n">
        <v>0</v>
      </c>
    </row>
    <row r="232" customFormat="false" ht="15" hidden="false" customHeight="true" outlineLevel="0" collapsed="false">
      <c r="A232" s="9" t="s">
        <v>368</v>
      </c>
      <c r="B232" s="9" t="s">
        <v>106</v>
      </c>
      <c r="C232" s="9" t="n">
        <v>1</v>
      </c>
      <c r="D232" s="9" t="n">
        <v>105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 t="s">
        <v>137</v>
      </c>
      <c r="Q232" s="9" t="n">
        <v>0</v>
      </c>
    </row>
    <row r="233" customFormat="false" ht="15" hidden="false" customHeight="true" outlineLevel="0" collapsed="false">
      <c r="A233" s="9" t="s">
        <v>369</v>
      </c>
      <c r="B233" s="9" t="s">
        <v>109</v>
      </c>
      <c r="C233" s="9" t="n">
        <v>1</v>
      </c>
      <c r="D233" s="9" t="n">
        <v>77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 t="s">
        <v>137</v>
      </c>
      <c r="Q233" s="9" t="n">
        <v>0</v>
      </c>
    </row>
    <row r="234" customFormat="false" ht="15" hidden="false" customHeight="true" outlineLevel="0" collapsed="false">
      <c r="A234" s="9" t="s">
        <v>370</v>
      </c>
      <c r="B234" s="9" t="s">
        <v>109</v>
      </c>
      <c r="C234" s="9" t="n">
        <v>1</v>
      </c>
      <c r="D234" s="9" t="n">
        <v>5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 t="s">
        <v>137</v>
      </c>
      <c r="Q234" s="9" t="n">
        <v>0</v>
      </c>
    </row>
    <row r="235" customFormat="false" ht="15" hidden="false" customHeight="true" outlineLevel="0" collapsed="false">
      <c r="A235" s="9" t="s">
        <v>371</v>
      </c>
      <c r="B235" s="9" t="s">
        <v>109</v>
      </c>
      <c r="C235" s="9" t="n">
        <v>1</v>
      </c>
      <c r="D235" s="9" t="n">
        <v>1577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 t="s">
        <v>137</v>
      </c>
      <c r="Q235" s="9" t="n">
        <v>0</v>
      </c>
    </row>
    <row r="236" customFormat="false" ht="15" hidden="false" customHeight="true" outlineLevel="0" collapsed="false">
      <c r="A236" s="9" t="s">
        <v>372</v>
      </c>
      <c r="B236" s="9" t="s">
        <v>109</v>
      </c>
      <c r="C236" s="9" t="n">
        <v>1</v>
      </c>
      <c r="D236" s="9" t="n">
        <v>135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s">
        <v>137</v>
      </c>
      <c r="Q236" s="9" t="n">
        <v>0</v>
      </c>
    </row>
    <row r="237" customFormat="false" ht="15" hidden="false" customHeight="true" outlineLevel="0" collapsed="false">
      <c r="A237" s="9" t="s">
        <v>373</v>
      </c>
      <c r="B237" s="9" t="s">
        <v>109</v>
      </c>
      <c r="C237" s="9" t="n">
        <v>1</v>
      </c>
      <c r="D237" s="9" t="n">
        <v>1391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 t="s">
        <v>137</v>
      </c>
      <c r="Q237" s="9" t="n">
        <v>0</v>
      </c>
    </row>
    <row r="238" customFormat="false" ht="15" hidden="false" customHeight="true" outlineLevel="0" collapsed="false">
      <c r="A238" s="9" t="s">
        <v>374</v>
      </c>
      <c r="B238" s="9" t="s">
        <v>109</v>
      </c>
      <c r="C238" s="9" t="n">
        <v>1</v>
      </c>
      <c r="D238" s="9" t="n">
        <v>135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 t="s">
        <v>137</v>
      </c>
      <c r="Q238" s="9" t="n">
        <v>0</v>
      </c>
    </row>
    <row r="239" customFormat="false" ht="15" hidden="false" customHeight="true" outlineLevel="0" collapsed="false">
      <c r="A239" s="9" t="s">
        <v>375</v>
      </c>
      <c r="B239" s="9" t="s">
        <v>109</v>
      </c>
      <c r="C239" s="9" t="n">
        <v>1</v>
      </c>
      <c r="D239" s="9" t="n">
        <v>5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 t="s">
        <v>137</v>
      </c>
      <c r="Q239" s="9" t="n">
        <v>0</v>
      </c>
    </row>
    <row r="240" customFormat="false" ht="15" hidden="false" customHeight="true" outlineLevel="0" collapsed="false">
      <c r="A240" s="9" t="s">
        <v>376</v>
      </c>
      <c r="B240" s="9" t="s">
        <v>109</v>
      </c>
      <c r="C240" s="9" t="n">
        <v>1</v>
      </c>
      <c r="D240" s="9" t="n">
        <v>135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 t="s">
        <v>137</v>
      </c>
      <c r="Q240" s="9" t="n">
        <v>0</v>
      </c>
    </row>
    <row r="241" customFormat="false" ht="15" hidden="false" customHeight="true" outlineLevel="0" collapsed="false">
      <c r="A241" s="9" t="s">
        <v>377</v>
      </c>
      <c r="B241" s="9" t="s">
        <v>109</v>
      </c>
      <c r="C241" s="9" t="n">
        <v>1</v>
      </c>
      <c r="D241" s="9" t="n">
        <v>494</v>
      </c>
      <c r="E241" s="9"/>
      <c r="F241" s="9"/>
      <c r="G241" s="9"/>
      <c r="H241" s="9"/>
      <c r="I241" s="9"/>
      <c r="J241" s="9"/>
      <c r="K241" s="9"/>
      <c r="L241" s="9" t="s">
        <v>44</v>
      </c>
      <c r="M241" s="9"/>
      <c r="N241" s="9"/>
      <c r="O241" s="9"/>
      <c r="P241" s="9" t="s">
        <v>146</v>
      </c>
      <c r="Q241" s="9" t="n">
        <v>1</v>
      </c>
    </row>
    <row r="242" customFormat="false" ht="15" hidden="false" customHeight="true" outlineLevel="0" collapsed="false">
      <c r="A242" s="9" t="s">
        <v>378</v>
      </c>
      <c r="B242" s="9" t="s">
        <v>108</v>
      </c>
      <c r="C242" s="9" t="n">
        <v>1</v>
      </c>
      <c r="D242" s="9" t="n">
        <v>249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 t="s">
        <v>137</v>
      </c>
      <c r="Q242" s="9" t="n">
        <v>0</v>
      </c>
    </row>
    <row r="243" customFormat="false" ht="15" hidden="false" customHeight="true" outlineLevel="0" collapsed="false">
      <c r="A243" s="9" t="s">
        <v>379</v>
      </c>
      <c r="B243" s="9" t="s">
        <v>108</v>
      </c>
      <c r="C243" s="9" t="n">
        <v>1</v>
      </c>
      <c r="D243" s="9" t="n">
        <v>135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 t="s">
        <v>137</v>
      </c>
      <c r="Q243" s="9" t="n">
        <v>0</v>
      </c>
    </row>
    <row r="244" customFormat="false" ht="15" hidden="false" customHeight="true" outlineLevel="0" collapsed="false">
      <c r="A244" s="9" t="s">
        <v>380</v>
      </c>
      <c r="B244" s="9" t="s">
        <v>108</v>
      </c>
      <c r="C244" s="9" t="n">
        <v>1</v>
      </c>
      <c r="D244" s="9" t="n">
        <v>77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 t="s">
        <v>137</v>
      </c>
      <c r="Q244" s="9" t="n">
        <v>0</v>
      </c>
    </row>
    <row r="245" customFormat="false" ht="15" hidden="false" customHeight="true" outlineLevel="0" collapsed="false">
      <c r="A245" s="9" t="s">
        <v>381</v>
      </c>
      <c r="B245" s="9" t="s">
        <v>108</v>
      </c>
      <c r="C245" s="9" t="n">
        <v>1</v>
      </c>
      <c r="D245" s="9" t="n">
        <v>478</v>
      </c>
      <c r="E245" s="9"/>
      <c r="F245" s="9"/>
      <c r="G245" s="9"/>
      <c r="H245" s="9"/>
      <c r="I245" s="9"/>
      <c r="J245" s="9"/>
      <c r="K245" s="9"/>
      <c r="L245" s="9" t="s">
        <v>44</v>
      </c>
      <c r="M245" s="9"/>
      <c r="N245" s="9"/>
      <c r="O245" s="9"/>
      <c r="P245" s="9" t="s">
        <v>146</v>
      </c>
      <c r="Q245" s="9" t="n">
        <v>1</v>
      </c>
    </row>
    <row r="246" customFormat="false" ht="15" hidden="false" customHeight="true" outlineLevel="0" collapsed="false">
      <c r="A246" s="9" t="s">
        <v>382</v>
      </c>
      <c r="B246" s="9" t="s">
        <v>108</v>
      </c>
      <c r="C246" s="9" t="n">
        <v>1</v>
      </c>
      <c r="D246" s="9" t="n">
        <v>5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 t="s">
        <v>137</v>
      </c>
      <c r="Q246" s="9" t="n">
        <v>0</v>
      </c>
    </row>
    <row r="247" customFormat="false" ht="15" hidden="false" customHeight="true" outlineLevel="0" collapsed="false">
      <c r="A247" s="9" t="s">
        <v>383</v>
      </c>
      <c r="B247" s="9" t="s">
        <v>108</v>
      </c>
      <c r="C247" s="9" t="n">
        <v>1</v>
      </c>
      <c r="D247" s="9" t="n">
        <v>1579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 t="s">
        <v>137</v>
      </c>
      <c r="Q247" s="9" t="n">
        <v>0</v>
      </c>
    </row>
    <row r="248" customFormat="false" ht="15" hidden="false" customHeight="true" outlineLevel="0" collapsed="false">
      <c r="A248" s="9" t="s">
        <v>384</v>
      </c>
      <c r="B248" s="9" t="s">
        <v>108</v>
      </c>
      <c r="C248" s="9" t="n">
        <v>1</v>
      </c>
      <c r="D248" s="9" t="n">
        <v>135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 t="s">
        <v>137</v>
      </c>
      <c r="Q248" s="9" t="n">
        <v>0</v>
      </c>
    </row>
    <row r="249" customFormat="false" ht="15" hidden="false" customHeight="true" outlineLevel="0" collapsed="false">
      <c r="A249" s="9" t="s">
        <v>385</v>
      </c>
      <c r="B249" s="9" t="s">
        <v>108</v>
      </c>
      <c r="C249" s="9" t="n">
        <v>1</v>
      </c>
      <c r="D249" s="9" t="n">
        <v>1391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 t="s">
        <v>137</v>
      </c>
      <c r="Q249" s="9" t="n">
        <v>0</v>
      </c>
    </row>
    <row r="250" customFormat="false" ht="15" hidden="false" customHeight="true" outlineLevel="0" collapsed="false">
      <c r="A250" s="9" t="s">
        <v>386</v>
      </c>
      <c r="B250" s="9" t="s">
        <v>108</v>
      </c>
      <c r="C250" s="9" t="n">
        <v>1</v>
      </c>
      <c r="D250" s="9" t="n">
        <v>135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 t="s">
        <v>137</v>
      </c>
      <c r="Q250" s="9" t="n">
        <v>0</v>
      </c>
    </row>
    <row r="251" customFormat="false" ht="15" hidden="false" customHeight="true" outlineLevel="0" collapsed="false">
      <c r="A251" s="9" t="s">
        <v>387</v>
      </c>
      <c r="B251" s="9" t="s">
        <v>108</v>
      </c>
      <c r="C251" s="9" t="n">
        <v>1</v>
      </c>
      <c r="D251" s="9" t="n">
        <v>5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 t="s">
        <v>137</v>
      </c>
      <c r="Q251" s="9" t="n">
        <v>0</v>
      </c>
    </row>
    <row r="252" customFormat="false" ht="15" hidden="false" customHeight="true" outlineLevel="0" collapsed="false">
      <c r="A252" s="9" t="s">
        <v>388</v>
      </c>
      <c r="B252" s="9" t="s">
        <v>108</v>
      </c>
      <c r="C252" s="9" t="n">
        <v>1</v>
      </c>
      <c r="D252" s="9" t="n">
        <v>135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 t="s">
        <v>137</v>
      </c>
      <c r="Q252" s="9" t="n">
        <v>0</v>
      </c>
    </row>
    <row r="253" customFormat="false" ht="15" hidden="false" customHeight="true" outlineLevel="0" collapsed="false">
      <c r="A253" s="9" t="s">
        <v>389</v>
      </c>
      <c r="B253" s="9" t="s">
        <v>110</v>
      </c>
      <c r="C253" s="9" t="n">
        <v>1</v>
      </c>
      <c r="D253" s="9" t="n">
        <v>135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 t="s">
        <v>137</v>
      </c>
      <c r="Q253" s="9" t="n">
        <v>0</v>
      </c>
    </row>
    <row r="254" customFormat="false" ht="15" hidden="false" customHeight="true" outlineLevel="0" collapsed="false">
      <c r="A254" s="9" t="s">
        <v>390</v>
      </c>
      <c r="B254" s="9" t="s">
        <v>110</v>
      </c>
      <c r="C254" s="9" t="n">
        <v>1</v>
      </c>
      <c r="D254" s="9" t="n">
        <v>77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 t="s">
        <v>137</v>
      </c>
      <c r="Q254" s="9" t="n">
        <v>0</v>
      </c>
    </row>
    <row r="255" customFormat="false" ht="15" hidden="false" customHeight="true" outlineLevel="0" collapsed="false">
      <c r="A255" s="9" t="s">
        <v>391</v>
      </c>
      <c r="B255" s="9" t="s">
        <v>110</v>
      </c>
      <c r="C255" s="9" t="n">
        <v>1</v>
      </c>
      <c r="D255" s="9" t="n">
        <v>1577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 t="s">
        <v>137</v>
      </c>
      <c r="Q255" s="9" t="n">
        <v>0</v>
      </c>
    </row>
    <row r="256" customFormat="false" ht="15" hidden="false" customHeight="true" outlineLevel="0" collapsed="false">
      <c r="A256" s="9" t="s">
        <v>392</v>
      </c>
      <c r="B256" s="9" t="s">
        <v>110</v>
      </c>
      <c r="C256" s="9" t="n">
        <v>1</v>
      </c>
      <c r="D256" s="9" t="n">
        <v>1391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 t="s">
        <v>137</v>
      </c>
      <c r="Q256" s="9" t="n">
        <v>0</v>
      </c>
    </row>
    <row r="257" customFormat="false" ht="15" hidden="false" customHeight="true" outlineLevel="0" collapsed="false">
      <c r="A257" s="9" t="s">
        <v>393</v>
      </c>
      <c r="B257" s="9" t="s">
        <v>110</v>
      </c>
      <c r="C257" s="9" t="n">
        <v>1</v>
      </c>
      <c r="D257" s="9" t="n">
        <v>5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 t="s">
        <v>137</v>
      </c>
      <c r="Q257" s="9" t="n">
        <v>0</v>
      </c>
    </row>
    <row r="258" customFormat="false" ht="15" hidden="false" customHeight="true" outlineLevel="0" collapsed="false">
      <c r="A258" s="9" t="s">
        <v>394</v>
      </c>
      <c r="B258" s="9" t="s">
        <v>110</v>
      </c>
      <c r="C258" s="9" t="n">
        <v>1</v>
      </c>
      <c r="D258" s="9" t="n">
        <v>5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 t="s">
        <v>137</v>
      </c>
      <c r="Q258" s="9" t="n">
        <v>0</v>
      </c>
    </row>
    <row r="259" customFormat="false" ht="15" hidden="false" customHeight="true" outlineLevel="0" collapsed="false">
      <c r="A259" s="9" t="s">
        <v>395</v>
      </c>
      <c r="B259" s="9" t="s">
        <v>110</v>
      </c>
      <c r="C259" s="9" t="n">
        <v>1</v>
      </c>
      <c r="D259" s="9" t="n">
        <v>135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 t="s">
        <v>137</v>
      </c>
      <c r="Q259" s="9" t="n">
        <v>0</v>
      </c>
    </row>
    <row r="260" customFormat="false" ht="15" hidden="false" customHeight="true" outlineLevel="0" collapsed="false">
      <c r="A260" s="9" t="s">
        <v>396</v>
      </c>
      <c r="B260" s="9" t="s">
        <v>111</v>
      </c>
      <c r="C260" s="9" t="n">
        <v>1</v>
      </c>
      <c r="D260" s="9" t="n">
        <v>135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 t="s">
        <v>137</v>
      </c>
      <c r="Q260" s="9" t="n">
        <v>0</v>
      </c>
    </row>
    <row r="261" customFormat="false" ht="15" hidden="false" customHeight="true" outlineLevel="0" collapsed="false">
      <c r="A261" s="9" t="s">
        <v>397</v>
      </c>
      <c r="B261" s="9" t="s">
        <v>111</v>
      </c>
      <c r="C261" s="9" t="n">
        <v>1</v>
      </c>
      <c r="D261" s="9" t="n">
        <v>77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 t="s">
        <v>137</v>
      </c>
      <c r="Q261" s="9" t="n">
        <v>0</v>
      </c>
    </row>
    <row r="262" customFormat="false" ht="15" hidden="false" customHeight="true" outlineLevel="0" collapsed="false">
      <c r="A262" s="9" t="s">
        <v>398</v>
      </c>
      <c r="B262" s="9" t="s">
        <v>111</v>
      </c>
      <c r="C262" s="9" t="n">
        <v>1</v>
      </c>
      <c r="D262" s="9" t="n">
        <v>1577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 t="s">
        <v>137</v>
      </c>
      <c r="Q262" s="9" t="n">
        <v>0</v>
      </c>
    </row>
    <row r="263" customFormat="false" ht="15" hidden="false" customHeight="true" outlineLevel="0" collapsed="false">
      <c r="A263" s="9" t="s">
        <v>399</v>
      </c>
      <c r="B263" s="9" t="s">
        <v>111</v>
      </c>
      <c r="C263" s="9" t="n">
        <v>1</v>
      </c>
      <c r="D263" s="9" t="n">
        <v>1391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 t="s">
        <v>137</v>
      </c>
      <c r="Q263" s="9" t="n">
        <v>0</v>
      </c>
    </row>
    <row r="264" customFormat="false" ht="15" hidden="false" customHeight="true" outlineLevel="0" collapsed="false">
      <c r="A264" s="9" t="s">
        <v>400</v>
      </c>
      <c r="B264" s="9" t="s">
        <v>111</v>
      </c>
      <c r="C264" s="9" t="n">
        <v>1</v>
      </c>
      <c r="D264" s="9" t="n">
        <v>5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 t="s">
        <v>137</v>
      </c>
      <c r="Q264" s="9" t="n">
        <v>0</v>
      </c>
    </row>
    <row r="265" customFormat="false" ht="15" hidden="false" customHeight="true" outlineLevel="0" collapsed="false">
      <c r="A265" s="9" t="s">
        <v>401</v>
      </c>
      <c r="B265" s="9" t="s">
        <v>111</v>
      </c>
      <c r="C265" s="9" t="n">
        <v>1</v>
      </c>
      <c r="D265" s="9" t="n">
        <v>5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 t="s">
        <v>137</v>
      </c>
      <c r="Q265" s="9" t="n">
        <v>0</v>
      </c>
    </row>
    <row r="266" customFormat="false" ht="15" hidden="false" customHeight="true" outlineLevel="0" collapsed="false">
      <c r="A266" s="9" t="s">
        <v>402</v>
      </c>
      <c r="B266" s="9" t="s">
        <v>111</v>
      </c>
      <c r="C266" s="9" t="n">
        <v>1</v>
      </c>
      <c r="D266" s="9" t="n">
        <v>135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 t="s">
        <v>137</v>
      </c>
      <c r="Q266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2026-07-29T08:59:35Z</dcterms:created>
  <dc:creator>openpyxl</dc:creator>
  <dc:description/>
  <dc:language>en-US</dc:language>
  <cp:lastModifiedBy/>
  <dcterms:modified xsi:type="dcterms:W3CDTF">2026-07-31T06:26:54Z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